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giler" sheetId="1" state="visible" r:id="rId1"/>
    <sheet xmlns:r="http://schemas.openxmlformats.org/officeDocument/2006/relationships" name="Öğrenci Listesi" sheetId="2" state="visible" r:id="rId2"/>
    <sheet xmlns:r="http://schemas.openxmlformats.org/officeDocument/2006/relationships" name="Ölçek" sheetId="3" state="visible" r:id="rId3"/>
  </sheets>
  <definedNames>
    <definedName name="_xlnm.Print_Area" localSheetId="2">'Ölçek'!$A$1:$AC$49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78716C"/>
      <sz val="10"/>
    </font>
    <font>
      <name val="Arial"/>
      <b val="1"/>
      <color rgb="FFFFFFFF"/>
      <sz val="11"/>
    </font>
    <font>
      <name val="Arial"/>
      <sz val="11"/>
    </font>
    <font>
      <name val="Arial"/>
      <i val="1"/>
      <color rgb="FF78716C"/>
      <sz val="9"/>
    </font>
    <font>
      <name val="Arial"/>
      <b val="1"/>
      <color rgb="FFFFFFFF"/>
      <sz val="10"/>
    </font>
    <font>
      <name val="Arial"/>
      <b val="1"/>
      <sz val="10"/>
    </font>
    <font>
      <name val="Arial"/>
      <b val="1"/>
      <color rgb="FFFFFFFF"/>
      <sz val="7"/>
    </font>
    <font>
      <name val="Arial"/>
      <b val="1"/>
      <color rgb="FFFFFFFF"/>
      <sz val="6"/>
    </font>
    <font>
      <name val="Arial"/>
      <sz val="7"/>
    </font>
    <font>
      <name val="Arial"/>
      <b val="1"/>
      <sz val="7"/>
    </font>
    <font>
      <name val="Arial"/>
      <b val="1"/>
      <sz val="8"/>
    </font>
  </fonts>
  <fills count="6">
    <fill>
      <patternFill/>
    </fill>
    <fill>
      <patternFill patternType="gray125"/>
    </fill>
    <fill>
      <patternFill patternType="solid">
        <fgColor rgb="FF1C1917"/>
        <bgColor rgb="FF1C1917"/>
      </patternFill>
    </fill>
    <fill>
      <patternFill patternType="solid">
        <fgColor rgb="FFE7F3FF"/>
        <bgColor rgb="FFE7F3FF"/>
      </patternFill>
    </fill>
    <fill>
      <patternFill patternType="solid">
        <fgColor rgb="FFFFF8E7"/>
        <bgColor rgb="FFFFF8E7"/>
      </patternFill>
    </fill>
    <fill>
      <patternFill patternType="solid">
        <fgColor rgb="FFF5F5F4"/>
        <bgColor rgb="FFF5F5F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center" indent="1"/>
    </xf>
    <xf numFmtId="0" fontId="4" fillId="3" borderId="1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0" borderId="0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bottom" textRotation="90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2" fontId="11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30" customHeight="1">
      <c r="A1" s="1" t="inlineStr">
        <is>
          <t>📝 BİLGİLERİ DOLDURUNUZ</t>
        </is>
      </c>
    </row>
    <row r="2" ht="30" customHeight="1">
      <c r="A2" s="2" t="inlineStr">
        <is>
          <t>Aşağıdaki bilgileri kendi okulunuza ve sınıfınıza göre doldurun. 'Ölçek' sayfasındaki başlıklar otomatik güncellenecek.</t>
        </is>
      </c>
    </row>
    <row r="4" ht="28" customHeight="1">
      <c r="A4" s="3" t="inlineStr">
        <is>
          <t>Okul Adı</t>
        </is>
      </c>
      <c r="B4" s="4" t="n"/>
    </row>
    <row r="5" ht="28" customHeight="1">
      <c r="A5" s="3" t="inlineStr">
        <is>
          <t>Eğitim Öğretim Yılı</t>
        </is>
      </c>
      <c r="B5" s="4" t="n"/>
    </row>
    <row r="6" ht="28" customHeight="1">
      <c r="A6" s="3" t="inlineStr">
        <is>
          <t>Sınıf / Şube</t>
        </is>
      </c>
      <c r="B6" s="4" t="n"/>
    </row>
    <row r="7" ht="28" customHeight="1">
      <c r="A7" s="3" t="inlineStr">
        <is>
          <t>Dönem</t>
        </is>
      </c>
      <c r="B7" s="4" t="n"/>
    </row>
    <row r="8" ht="28" customHeight="1">
      <c r="A8" s="3" t="inlineStr">
        <is>
          <t>Ders</t>
        </is>
      </c>
      <c r="B8" s="4" t="inlineStr">
        <is>
          <t>Beden Eğitimi ve Oyun</t>
        </is>
      </c>
    </row>
    <row r="9" ht="28" customHeight="1">
      <c r="A9" s="3" t="inlineStr">
        <is>
          <t>Sınıf Öğretmeni</t>
        </is>
      </c>
      <c r="B9" s="4" t="n"/>
    </row>
    <row r="10" ht="28" customHeight="1">
      <c r="A10" s="3" t="inlineStr">
        <is>
          <t>Okul Müdürü</t>
        </is>
      </c>
      <c r="B10" s="4" t="n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8" customWidth="1" min="8" max="8"/>
  </cols>
  <sheetData>
    <row r="1" ht="30" customHeight="1">
      <c r="A1" s="1" t="inlineStr">
        <is>
          <t>📋 SİSTEMDEN ÖĞRENCİ LİSTESİNİ BURAYA YAPIŞTIRIN</t>
        </is>
      </c>
    </row>
    <row r="2" ht="20" customHeight="1">
      <c r="A2" s="2" t="inlineStr">
        <is>
          <t>Sistemde notları işaretledikten sonra tüm tabloyu kopyalayın (Ctrl+C), aşağıdaki sarı alana yapıştırın (Ctrl+V).</t>
        </is>
      </c>
    </row>
    <row r="3" ht="18" customHeight="1">
      <c r="A3" s="5" t="inlineStr">
        <is>
          <t>✓ Öğrenci adları, numaraları ve seviyeler 'Ölçek' sayfasına otomatik aktarılacak.</t>
        </is>
      </c>
    </row>
    <row r="5" ht="22" customHeight="1">
      <c r="A5" s="6" t="inlineStr">
        <is>
          <t>NO</t>
        </is>
      </c>
      <c r="B5" s="6" t="inlineStr">
        <is>
          <t>ADI SOYADI</t>
        </is>
      </c>
      <c r="C5" s="6" t="inlineStr">
        <is>
          <t>Geliştirilmeli</t>
        </is>
      </c>
      <c r="D5" s="6" t="inlineStr">
        <is>
          <t>Yeterli</t>
        </is>
      </c>
      <c r="E5" s="6" t="inlineStr">
        <is>
          <t>İyi</t>
        </is>
      </c>
      <c r="F5" s="6" t="inlineStr">
        <is>
          <t>Çok İyi</t>
        </is>
      </c>
      <c r="G5" s="6" t="inlineStr">
        <is>
          <t>SONUÇ</t>
        </is>
      </c>
      <c r="H5" s="6" t="inlineStr">
        <is>
          <t>(yok sayılır)</t>
        </is>
      </c>
    </row>
    <row r="6" ht="18" customHeight="1">
      <c r="A6" s="7" t="n"/>
      <c r="B6" s="8" t="n"/>
      <c r="C6" s="9" t="n"/>
      <c r="D6" s="9" t="n"/>
      <c r="E6" s="9" t="n"/>
      <c r="F6" s="9" t="n"/>
      <c r="G6" s="7" t="n"/>
      <c r="H6" s="9" t="n"/>
    </row>
    <row r="7" ht="18" customHeight="1">
      <c r="A7" s="7" t="n"/>
      <c r="B7" s="8" t="n"/>
      <c r="C7" s="9" t="n"/>
      <c r="D7" s="9" t="n"/>
      <c r="E7" s="9" t="n"/>
      <c r="F7" s="9" t="n"/>
      <c r="G7" s="7" t="n"/>
      <c r="H7" s="9" t="n"/>
    </row>
    <row r="8" ht="18" customHeight="1">
      <c r="A8" s="7" t="n"/>
      <c r="B8" s="8" t="n"/>
      <c r="C8" s="9" t="n"/>
      <c r="D8" s="9" t="n"/>
      <c r="E8" s="9" t="n"/>
      <c r="F8" s="9" t="n"/>
      <c r="G8" s="7" t="n"/>
      <c r="H8" s="9" t="n"/>
    </row>
    <row r="9" ht="18" customHeight="1">
      <c r="A9" s="7" t="n"/>
      <c r="B9" s="8" t="n"/>
      <c r="C9" s="9" t="n"/>
      <c r="D9" s="9" t="n"/>
      <c r="E9" s="9" t="n"/>
      <c r="F9" s="9" t="n"/>
      <c r="G9" s="7" t="n"/>
      <c r="H9" s="9" t="n"/>
    </row>
    <row r="10" ht="18" customHeight="1">
      <c r="A10" s="7" t="n"/>
      <c r="B10" s="8" t="n"/>
      <c r="C10" s="9" t="n"/>
      <c r="D10" s="9" t="n"/>
      <c r="E10" s="9" t="n"/>
      <c r="F10" s="9" t="n"/>
      <c r="G10" s="7" t="n"/>
      <c r="H10" s="9" t="n"/>
    </row>
    <row r="11" ht="18" customHeight="1">
      <c r="A11" s="7" t="n"/>
      <c r="B11" s="8" t="n"/>
      <c r="C11" s="9" t="n"/>
      <c r="D11" s="9" t="n"/>
      <c r="E11" s="9" t="n"/>
      <c r="F11" s="9" t="n"/>
      <c r="G11" s="7" t="n"/>
      <c r="H11" s="9" t="n"/>
    </row>
    <row r="12" ht="18" customHeight="1">
      <c r="A12" s="7" t="n"/>
      <c r="B12" s="8" t="n"/>
      <c r="C12" s="9" t="n"/>
      <c r="D12" s="9" t="n"/>
      <c r="E12" s="9" t="n"/>
      <c r="F12" s="9" t="n"/>
      <c r="G12" s="7" t="n"/>
      <c r="H12" s="9" t="n"/>
    </row>
    <row r="13" ht="18" customHeight="1">
      <c r="A13" s="7" t="n"/>
      <c r="B13" s="8" t="n"/>
      <c r="C13" s="9" t="n"/>
      <c r="D13" s="9" t="n"/>
      <c r="E13" s="9" t="n"/>
      <c r="F13" s="9" t="n"/>
      <c r="G13" s="7" t="n"/>
      <c r="H13" s="9" t="n"/>
    </row>
    <row r="14" ht="18" customHeight="1">
      <c r="A14" s="7" t="n"/>
      <c r="B14" s="8" t="n"/>
      <c r="C14" s="9" t="n"/>
      <c r="D14" s="9" t="n"/>
      <c r="E14" s="9" t="n"/>
      <c r="F14" s="9" t="n"/>
      <c r="G14" s="7" t="n"/>
      <c r="H14" s="9" t="n"/>
    </row>
    <row r="15" ht="18" customHeight="1">
      <c r="A15" s="7" t="n"/>
      <c r="B15" s="8" t="n"/>
      <c r="C15" s="9" t="n"/>
      <c r="D15" s="9" t="n"/>
      <c r="E15" s="9" t="n"/>
      <c r="F15" s="9" t="n"/>
      <c r="G15" s="7" t="n"/>
      <c r="H15" s="9" t="n"/>
    </row>
    <row r="16" ht="18" customHeight="1">
      <c r="A16" s="7" t="n"/>
      <c r="B16" s="8" t="n"/>
      <c r="C16" s="9" t="n"/>
      <c r="D16" s="9" t="n"/>
      <c r="E16" s="9" t="n"/>
      <c r="F16" s="9" t="n"/>
      <c r="G16" s="7" t="n"/>
      <c r="H16" s="9" t="n"/>
    </row>
    <row r="17" ht="18" customHeight="1">
      <c r="A17" s="7" t="n"/>
      <c r="B17" s="8" t="n"/>
      <c r="C17" s="9" t="n"/>
      <c r="D17" s="9" t="n"/>
      <c r="E17" s="9" t="n"/>
      <c r="F17" s="9" t="n"/>
      <c r="G17" s="7" t="n"/>
      <c r="H17" s="9" t="n"/>
    </row>
    <row r="18" ht="18" customHeight="1">
      <c r="A18" s="7" t="n"/>
      <c r="B18" s="8" t="n"/>
      <c r="C18" s="9" t="n"/>
      <c r="D18" s="9" t="n"/>
      <c r="E18" s="9" t="n"/>
      <c r="F18" s="9" t="n"/>
      <c r="G18" s="7" t="n"/>
      <c r="H18" s="9" t="n"/>
    </row>
    <row r="19" ht="18" customHeight="1">
      <c r="A19" s="7" t="n"/>
      <c r="B19" s="8" t="n"/>
      <c r="C19" s="9" t="n"/>
      <c r="D19" s="9" t="n"/>
      <c r="E19" s="9" t="n"/>
      <c r="F19" s="9" t="n"/>
      <c r="G19" s="7" t="n"/>
      <c r="H19" s="9" t="n"/>
    </row>
    <row r="20" ht="18" customHeight="1">
      <c r="A20" s="7" t="n"/>
      <c r="B20" s="8" t="n"/>
      <c r="C20" s="9" t="n"/>
      <c r="D20" s="9" t="n"/>
      <c r="E20" s="9" t="n"/>
      <c r="F20" s="9" t="n"/>
      <c r="G20" s="7" t="n"/>
      <c r="H20" s="9" t="n"/>
    </row>
    <row r="21" ht="18" customHeight="1">
      <c r="A21" s="7" t="n"/>
      <c r="B21" s="8" t="n"/>
      <c r="C21" s="9" t="n"/>
      <c r="D21" s="9" t="n"/>
      <c r="E21" s="9" t="n"/>
      <c r="F21" s="9" t="n"/>
      <c r="G21" s="7" t="n"/>
      <c r="H21" s="9" t="n"/>
    </row>
    <row r="22" ht="18" customHeight="1">
      <c r="A22" s="7" t="n"/>
      <c r="B22" s="8" t="n"/>
      <c r="C22" s="9" t="n"/>
      <c r="D22" s="9" t="n"/>
      <c r="E22" s="9" t="n"/>
      <c r="F22" s="9" t="n"/>
      <c r="G22" s="7" t="n"/>
      <c r="H22" s="9" t="n"/>
    </row>
    <row r="23" ht="18" customHeight="1">
      <c r="A23" s="7" t="n"/>
      <c r="B23" s="8" t="n"/>
      <c r="C23" s="9" t="n"/>
      <c r="D23" s="9" t="n"/>
      <c r="E23" s="9" t="n"/>
      <c r="F23" s="9" t="n"/>
      <c r="G23" s="7" t="n"/>
      <c r="H23" s="9" t="n"/>
    </row>
    <row r="24" ht="18" customHeight="1">
      <c r="A24" s="7" t="n"/>
      <c r="B24" s="8" t="n"/>
      <c r="C24" s="9" t="n"/>
      <c r="D24" s="9" t="n"/>
      <c r="E24" s="9" t="n"/>
      <c r="F24" s="9" t="n"/>
      <c r="G24" s="7" t="n"/>
      <c r="H24" s="9" t="n"/>
    </row>
    <row r="25" ht="18" customHeight="1">
      <c r="A25" s="7" t="n"/>
      <c r="B25" s="8" t="n"/>
      <c r="C25" s="9" t="n"/>
      <c r="D25" s="9" t="n"/>
      <c r="E25" s="9" t="n"/>
      <c r="F25" s="9" t="n"/>
      <c r="G25" s="7" t="n"/>
      <c r="H25" s="9" t="n"/>
    </row>
    <row r="26" ht="18" customHeight="1">
      <c r="A26" s="7" t="n"/>
      <c r="B26" s="8" t="n"/>
      <c r="C26" s="9" t="n"/>
      <c r="D26" s="9" t="n"/>
      <c r="E26" s="9" t="n"/>
      <c r="F26" s="9" t="n"/>
      <c r="G26" s="7" t="n"/>
      <c r="H26" s="9" t="n"/>
    </row>
    <row r="27" ht="18" customHeight="1">
      <c r="A27" s="7" t="n"/>
      <c r="B27" s="8" t="n"/>
      <c r="C27" s="9" t="n"/>
      <c r="D27" s="9" t="n"/>
      <c r="E27" s="9" t="n"/>
      <c r="F27" s="9" t="n"/>
      <c r="G27" s="7" t="n"/>
      <c r="H27" s="9" t="n"/>
    </row>
    <row r="28" ht="18" customHeight="1">
      <c r="A28" s="7" t="n"/>
      <c r="B28" s="8" t="n"/>
      <c r="C28" s="9" t="n"/>
      <c r="D28" s="9" t="n"/>
      <c r="E28" s="9" t="n"/>
      <c r="F28" s="9" t="n"/>
      <c r="G28" s="7" t="n"/>
      <c r="H28" s="9" t="n"/>
    </row>
    <row r="29" ht="18" customHeight="1">
      <c r="A29" s="7" t="n"/>
      <c r="B29" s="8" t="n"/>
      <c r="C29" s="9" t="n"/>
      <c r="D29" s="9" t="n"/>
      <c r="E29" s="9" t="n"/>
      <c r="F29" s="9" t="n"/>
      <c r="G29" s="7" t="n"/>
      <c r="H29" s="9" t="n"/>
    </row>
    <row r="30" ht="18" customHeight="1">
      <c r="A30" s="7" t="n"/>
      <c r="B30" s="8" t="n"/>
      <c r="C30" s="9" t="n"/>
      <c r="D30" s="9" t="n"/>
      <c r="E30" s="9" t="n"/>
      <c r="F30" s="9" t="n"/>
      <c r="G30" s="7" t="n"/>
      <c r="H30" s="9" t="n"/>
    </row>
    <row r="31" ht="18" customHeight="1">
      <c r="A31" s="7" t="n"/>
      <c r="B31" s="8" t="n"/>
      <c r="C31" s="9" t="n"/>
      <c r="D31" s="9" t="n"/>
      <c r="E31" s="9" t="n"/>
      <c r="F31" s="9" t="n"/>
      <c r="G31" s="7" t="n"/>
      <c r="H31" s="9" t="n"/>
    </row>
    <row r="32" ht="18" customHeight="1">
      <c r="A32" s="7" t="n"/>
      <c r="B32" s="8" t="n"/>
      <c r="C32" s="9" t="n"/>
      <c r="D32" s="9" t="n"/>
      <c r="E32" s="9" t="n"/>
      <c r="F32" s="9" t="n"/>
      <c r="G32" s="7" t="n"/>
      <c r="H32" s="9" t="n"/>
    </row>
    <row r="33" ht="18" customHeight="1">
      <c r="A33" s="7" t="n"/>
      <c r="B33" s="8" t="n"/>
      <c r="C33" s="9" t="n"/>
      <c r="D33" s="9" t="n"/>
      <c r="E33" s="9" t="n"/>
      <c r="F33" s="9" t="n"/>
      <c r="G33" s="7" t="n"/>
      <c r="H33" s="9" t="n"/>
    </row>
    <row r="34" ht="18" customHeight="1">
      <c r="A34" s="7" t="n"/>
      <c r="B34" s="8" t="n"/>
      <c r="C34" s="9" t="n"/>
      <c r="D34" s="9" t="n"/>
      <c r="E34" s="9" t="n"/>
      <c r="F34" s="9" t="n"/>
      <c r="G34" s="7" t="n"/>
      <c r="H34" s="9" t="n"/>
    </row>
    <row r="35" ht="18" customHeight="1">
      <c r="A35" s="7" t="n"/>
      <c r="B35" s="8" t="n"/>
      <c r="C35" s="9" t="n"/>
      <c r="D35" s="9" t="n"/>
      <c r="E35" s="9" t="n"/>
      <c r="F35" s="9" t="n"/>
      <c r="G35" s="7" t="n"/>
      <c r="H35" s="9" t="n"/>
    </row>
    <row r="36" ht="18" customHeight="1">
      <c r="A36" s="7" t="n"/>
      <c r="B36" s="8" t="n"/>
      <c r="C36" s="9" t="n"/>
      <c r="D36" s="9" t="n"/>
      <c r="E36" s="9" t="n"/>
      <c r="F36" s="9" t="n"/>
      <c r="G36" s="7" t="n"/>
      <c r="H36" s="9" t="n"/>
    </row>
    <row r="37" ht="18" customHeight="1">
      <c r="A37" s="7" t="n"/>
      <c r="B37" s="8" t="n"/>
      <c r="C37" s="9" t="n"/>
      <c r="D37" s="9" t="n"/>
      <c r="E37" s="9" t="n"/>
      <c r="F37" s="9" t="n"/>
      <c r="G37" s="7" t="n"/>
      <c r="H37" s="9" t="n"/>
    </row>
    <row r="38" ht="18" customHeight="1">
      <c r="A38" s="7" t="n"/>
      <c r="B38" s="8" t="n"/>
      <c r="C38" s="9" t="n"/>
      <c r="D38" s="9" t="n"/>
      <c r="E38" s="9" t="n"/>
      <c r="F38" s="9" t="n"/>
      <c r="G38" s="7" t="n"/>
      <c r="H38" s="9" t="n"/>
    </row>
    <row r="39" ht="18" customHeight="1">
      <c r="A39" s="7" t="n"/>
      <c r="B39" s="8" t="n"/>
      <c r="C39" s="9" t="n"/>
      <c r="D39" s="9" t="n"/>
      <c r="E39" s="9" t="n"/>
      <c r="F39" s="9" t="n"/>
      <c r="G39" s="7" t="n"/>
      <c r="H39" s="9" t="n"/>
    </row>
    <row r="40" ht="18" customHeight="1">
      <c r="A40" s="7" t="n"/>
      <c r="B40" s="8" t="n"/>
      <c r="C40" s="9" t="n"/>
      <c r="D40" s="9" t="n"/>
      <c r="E40" s="9" t="n"/>
      <c r="F40" s="9" t="n"/>
      <c r="G40" s="7" t="n"/>
      <c r="H40" s="9" t="n"/>
    </row>
    <row r="41" ht="18" customHeight="1">
      <c r="A41" s="7" t="n"/>
      <c r="B41" s="8" t="n"/>
      <c r="C41" s="9" t="n"/>
      <c r="D41" s="9" t="n"/>
      <c r="E41" s="9" t="n"/>
      <c r="F41" s="9" t="n"/>
      <c r="G41" s="7" t="n"/>
      <c r="H41" s="9" t="n"/>
    </row>
    <row r="42" ht="18" customHeight="1">
      <c r="A42" s="7" t="n"/>
      <c r="B42" s="8" t="n"/>
      <c r="C42" s="9" t="n"/>
      <c r="D42" s="9" t="n"/>
      <c r="E42" s="9" t="n"/>
      <c r="F42" s="9" t="n"/>
      <c r="G42" s="7" t="n"/>
      <c r="H42" s="9" t="n"/>
    </row>
    <row r="43" ht="18" customHeight="1">
      <c r="A43" s="7" t="n"/>
      <c r="B43" s="8" t="n"/>
      <c r="C43" s="9" t="n"/>
      <c r="D43" s="9" t="n"/>
      <c r="E43" s="9" t="n"/>
      <c r="F43" s="9" t="n"/>
      <c r="G43" s="7" t="n"/>
      <c r="H43" s="9" t="n"/>
    </row>
    <row r="44" ht="18" customHeight="1">
      <c r="A44" s="7" t="n"/>
      <c r="B44" s="8" t="n"/>
      <c r="C44" s="9" t="n"/>
      <c r="D44" s="9" t="n"/>
      <c r="E44" s="9" t="n"/>
      <c r="F44" s="9" t="n"/>
      <c r="G44" s="7" t="n"/>
      <c r="H44" s="9" t="n"/>
    </row>
    <row r="45" ht="18" customHeight="1">
      <c r="A45" s="7" t="n"/>
      <c r="B45" s="8" t="n"/>
      <c r="C45" s="9" t="n"/>
      <c r="D45" s="9" t="n"/>
      <c r="E45" s="9" t="n"/>
      <c r="F45" s="9" t="n"/>
      <c r="G45" s="7" t="n"/>
      <c r="H45" s="9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4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16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9" customWidth="1" min="28" max="28"/>
    <col width="13" customWidth="1" min="29" max="29"/>
  </cols>
  <sheetData>
    <row r="1" ht="14" customHeight="1">
      <c r="A1" s="10">
        <f>Bilgiler!B4&amp;" • "&amp;Bilgiler!B5&amp;" EĞİTİM ÖĞRETİM YILI"</f>
        <v/>
      </c>
    </row>
    <row r="2" ht="14" customHeight="1">
      <c r="A2" s="10">
        <f>Bilgiler!B6&amp;" SINIFI "&amp;Bilgiler!B7&amp;" "&amp;Bilgiler!B8&amp;" DERSİ KAZANIM DEĞERLENDİRME ÖLÇEĞİ"</f>
        <v/>
      </c>
    </row>
    <row r="4" ht="140" customHeight="1">
      <c r="A4" s="11" t="inlineStr">
        <is>
          <t>NO</t>
        </is>
      </c>
      <c r="B4" s="11" t="inlineStr">
        <is>
          <t>ADI VE SOYADI</t>
        </is>
      </c>
      <c r="C4" s="12" t="inlineStr">
        <is>
          <t>Yer değiştirme hareketlerini artan çeviklikle yapar</t>
        </is>
      </c>
      <c r="D4" s="12" t="inlineStr">
        <is>
          <t>Yer değiştirme hareketlerini vücut farkındalığıyla yapar</t>
        </is>
      </c>
      <c r="E4" s="12" t="inlineStr">
        <is>
          <t>Çeşitli nesnelerin üzerinde dengeleme hareketleri yapar</t>
        </is>
      </c>
      <c r="F4" s="12" t="inlineStr">
        <is>
          <t>Dengeleme hareketlerini artan doğrulukla yapar</t>
        </is>
      </c>
      <c r="G4" s="12" t="inlineStr">
        <is>
          <t>Nesne kontrolü hareketlerini artan beceriyle yapar</t>
        </is>
      </c>
      <c r="H4" s="12" t="inlineStr">
        <is>
          <t>Ritmik hareketleri müzikle koordineli yapar</t>
        </is>
      </c>
      <c r="I4" s="12" t="inlineStr">
        <is>
          <t>Temel jimnastik hareketlerini doğru teknikle uygular</t>
        </is>
      </c>
      <c r="J4" s="12" t="inlineStr">
        <is>
          <t>Atletizm temel hareketlerini uygular</t>
        </is>
      </c>
      <c r="K4" s="12" t="inlineStr">
        <is>
          <t>Kurallı oyunlarda iş birliği yaparak oynar</t>
        </is>
      </c>
      <c r="L4" s="12" t="inlineStr">
        <is>
          <t>Oyunlarda adil oyun ilkelerine uyar</t>
        </is>
      </c>
      <c r="M4" s="12" t="inlineStr">
        <is>
          <t>Geleneksel oyunları oynar</t>
        </is>
      </c>
      <c r="N4" s="12" t="inlineStr">
        <is>
          <t>Takım oyunlarında görev alır</t>
        </is>
      </c>
      <c r="O4" s="12" t="inlineStr">
        <is>
          <t>Oyunlarda kazanmayı ve kaybetmeyi olgunlukla karşılar</t>
        </is>
      </c>
      <c r="P4" s="12" t="inlineStr">
        <is>
          <t>Oyunlarda güvenlik kurallarına uyar</t>
        </is>
      </c>
      <c r="Q4" s="12" t="inlineStr">
        <is>
          <t>Farklı oyun aletlerini kullanır</t>
        </is>
      </c>
      <c r="R4" s="12" t="inlineStr">
        <is>
          <t>Yaratıcı hareket oyunlarına katılır</t>
        </is>
      </c>
      <c r="S4" s="12" t="inlineStr">
        <is>
          <t>Egzersiz öncesi ısınma yapar</t>
        </is>
      </c>
      <c r="T4" s="12" t="inlineStr">
        <is>
          <t>Düzenli fiziksel aktivitenin önemini açıklar</t>
        </is>
      </c>
      <c r="U4" s="12" t="inlineStr">
        <is>
          <t>Sağlıklı beslenme ile spor ilişkisini açıklar</t>
        </is>
      </c>
      <c r="V4" s="12" t="inlineStr">
        <is>
          <t>Temizlik ve hijyen kurallarını uygular</t>
        </is>
      </c>
      <c r="W4" s="12" t="inlineStr">
        <is>
          <t>Beden eğitiminde güvenlik kurallarını uygular</t>
        </is>
      </c>
      <c r="X4" s="12" t="inlineStr">
        <is>
          <t>Türk sporcularını ve başarılarını araştırır</t>
        </is>
      </c>
      <c r="Y4" s="12" t="inlineStr">
        <is>
          <t>Olimpiyat oyunlarını tanır</t>
        </is>
      </c>
      <c r="Z4" s="12" t="inlineStr">
        <is>
          <t>Fair play kavramını örneklerle açıklar</t>
        </is>
      </c>
      <c r="AA4" s="12" t="inlineStr">
        <is>
          <t>Sporu bir yaşam biçimi olarak benimser</t>
        </is>
      </c>
      <c r="AB4" s="11" t="inlineStr">
        <is>
          <t>ORTALAMA</t>
        </is>
      </c>
      <c r="AC4" s="11" t="inlineStr">
        <is>
          <t>SEVİYE</t>
        </is>
      </c>
    </row>
    <row r="5" ht="9" customHeight="1">
      <c r="A5" s="13">
        <f>IFERROR(IF('Öğrenci Listesi'!A6="","",'Öğrenci Listesi'!A6),"")</f>
        <v/>
      </c>
      <c r="B5" s="14">
        <f>IFERROR(IF('Öğrenci Listesi'!B6="","",'Öğrenci Listesi'!B6),"")</f>
        <v/>
      </c>
      <c r="C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D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E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F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G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H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I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J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K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L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M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N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O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P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Q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R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S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T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U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V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W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X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Y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Z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AA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AB5" s="15">
        <f>IF(OR('Öğrenci Listesi'!B6="",AC5=""),"",ROUND(AVERAGE(C5:AA5),2))</f>
        <v/>
      </c>
      <c r="AC5" s="16">
        <f>IFERROR(IF('Öğrenci Listesi'!G6="","",IF(UPPER(TRIM('Öğrenci Listesi'!G6))="ÇOK İYİ","Çok İyi",IF(UPPER(TRIM('Öğrenci Listesi'!G6))="İYİ","İyi",IF(UPPER(TRIM('Öğrenci Listesi'!G6))="YETERLİ","Yeterli",IF(UPPER(TRIM('Öğrenci Listesi'!G6))="GELİŞTİRİLMELİ","Geliştirilmeli",'Öğrenci Listesi'!G6))))),"")</f>
        <v/>
      </c>
    </row>
    <row r="6" ht="9" customHeight="1">
      <c r="A6" s="13">
        <f>IFERROR(IF('Öğrenci Listesi'!A7="","",'Öğrenci Listesi'!A7),"")</f>
        <v/>
      </c>
      <c r="B6" s="14">
        <f>IFERROR(IF('Öğrenci Listesi'!B7="","",'Öğrenci Listesi'!B7),"")</f>
        <v/>
      </c>
      <c r="C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D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E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F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G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H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I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J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K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L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M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N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O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P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Q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R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S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T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U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V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W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X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Y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Z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AA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AB6" s="15">
        <f>IF(OR('Öğrenci Listesi'!B7="",AC6=""),"",ROUND(AVERAGE(C6:AA6),2))</f>
        <v/>
      </c>
      <c r="AC6" s="16">
        <f>IFERROR(IF('Öğrenci Listesi'!G7="","",IF(UPPER(TRIM('Öğrenci Listesi'!G7))="ÇOK İYİ","Çok İyi",IF(UPPER(TRIM('Öğrenci Listesi'!G7))="İYİ","İyi",IF(UPPER(TRIM('Öğrenci Listesi'!G7))="YETERLİ","Yeterli",IF(UPPER(TRIM('Öğrenci Listesi'!G7))="GELİŞTİRİLMELİ","Geliştirilmeli",'Öğrenci Listesi'!G7))))),"")</f>
        <v/>
      </c>
    </row>
    <row r="7" ht="9" customHeight="1">
      <c r="A7" s="13">
        <f>IFERROR(IF('Öğrenci Listesi'!A8="","",'Öğrenci Listesi'!A8),"")</f>
        <v/>
      </c>
      <c r="B7" s="14">
        <f>IFERROR(IF('Öğrenci Listesi'!B8="","",'Öğrenci Listesi'!B8),"")</f>
        <v/>
      </c>
      <c r="C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D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E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F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G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H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I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J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K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L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M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N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O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P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Q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R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S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T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U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V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W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X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Y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Z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AA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AB7" s="15">
        <f>IF(OR('Öğrenci Listesi'!B8="",AC7=""),"",ROUND(AVERAGE(C7:AA7),2))</f>
        <v/>
      </c>
      <c r="AC7" s="16">
        <f>IFERROR(IF('Öğrenci Listesi'!G8="","",IF(UPPER(TRIM('Öğrenci Listesi'!G8))="ÇOK İYİ","Çok İyi",IF(UPPER(TRIM('Öğrenci Listesi'!G8))="İYİ","İyi",IF(UPPER(TRIM('Öğrenci Listesi'!G8))="YETERLİ","Yeterli",IF(UPPER(TRIM('Öğrenci Listesi'!G8))="GELİŞTİRİLMELİ","Geliştirilmeli",'Öğrenci Listesi'!G8))))),"")</f>
        <v/>
      </c>
    </row>
    <row r="8" ht="9" customHeight="1">
      <c r="A8" s="13">
        <f>IFERROR(IF('Öğrenci Listesi'!A9="","",'Öğrenci Listesi'!A9),"")</f>
        <v/>
      </c>
      <c r="B8" s="14">
        <f>IFERROR(IF('Öğrenci Listesi'!B9="","",'Öğrenci Listesi'!B9),"")</f>
        <v/>
      </c>
      <c r="C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D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E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F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G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H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I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J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K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L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M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N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O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P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Q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R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S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T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U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V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W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X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Y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Z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AA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AB8" s="15">
        <f>IF(OR('Öğrenci Listesi'!B9="",AC8=""),"",ROUND(AVERAGE(C8:AA8),2))</f>
        <v/>
      </c>
      <c r="AC8" s="16">
        <f>IFERROR(IF('Öğrenci Listesi'!G9="","",IF(UPPER(TRIM('Öğrenci Listesi'!G9))="ÇOK İYİ","Çok İyi",IF(UPPER(TRIM('Öğrenci Listesi'!G9))="İYİ","İyi",IF(UPPER(TRIM('Öğrenci Listesi'!G9))="YETERLİ","Yeterli",IF(UPPER(TRIM('Öğrenci Listesi'!G9))="GELİŞTİRİLMELİ","Geliştirilmeli",'Öğrenci Listesi'!G9))))),"")</f>
        <v/>
      </c>
    </row>
    <row r="9" ht="9" customHeight="1">
      <c r="A9" s="13">
        <f>IFERROR(IF('Öğrenci Listesi'!A10="","",'Öğrenci Listesi'!A10),"")</f>
        <v/>
      </c>
      <c r="B9" s="14">
        <f>IFERROR(IF('Öğrenci Listesi'!B10="","",'Öğrenci Listesi'!B10),"")</f>
        <v/>
      </c>
      <c r="C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D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E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F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G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H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I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J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K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L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M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N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O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P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Q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R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S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T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U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V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W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X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Y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Z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AA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AB9" s="15">
        <f>IF(OR('Öğrenci Listesi'!B10="",AC9=""),"",ROUND(AVERAGE(C9:AA9),2))</f>
        <v/>
      </c>
      <c r="AC9" s="16">
        <f>IFERROR(IF('Öğrenci Listesi'!G10="","",IF(UPPER(TRIM('Öğrenci Listesi'!G10))="ÇOK İYİ","Çok İyi",IF(UPPER(TRIM('Öğrenci Listesi'!G10))="İYİ","İyi",IF(UPPER(TRIM('Öğrenci Listesi'!G10))="YETERLİ","Yeterli",IF(UPPER(TRIM('Öğrenci Listesi'!G10))="GELİŞTİRİLMELİ","Geliştirilmeli",'Öğrenci Listesi'!G10))))),"")</f>
        <v/>
      </c>
    </row>
    <row r="10" ht="9" customHeight="1">
      <c r="A10" s="13">
        <f>IFERROR(IF('Öğrenci Listesi'!A11="","",'Öğrenci Listesi'!A11),"")</f>
        <v/>
      </c>
      <c r="B10" s="14">
        <f>IFERROR(IF('Öğrenci Listesi'!B11="","",'Öğrenci Listesi'!B11),"")</f>
        <v/>
      </c>
      <c r="C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D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E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F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G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H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I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J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K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L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M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N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O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P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Q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R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S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T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U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V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W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X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Y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Z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AA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AB10" s="15">
        <f>IF(OR('Öğrenci Listesi'!B11="",AC10=""),"",ROUND(AVERAGE(C10:AA10),2))</f>
        <v/>
      </c>
      <c r="AC10" s="16">
        <f>IFERROR(IF('Öğrenci Listesi'!G11="","",IF(UPPER(TRIM('Öğrenci Listesi'!G11))="ÇOK İYİ","Çok İyi",IF(UPPER(TRIM('Öğrenci Listesi'!G11))="İYİ","İyi",IF(UPPER(TRIM('Öğrenci Listesi'!G11))="YETERLİ","Yeterli",IF(UPPER(TRIM('Öğrenci Listesi'!G11))="GELİŞTİRİLMELİ","Geliştirilmeli",'Öğrenci Listesi'!G11))))),"")</f>
        <v/>
      </c>
    </row>
    <row r="11" ht="9" customHeight="1">
      <c r="A11" s="13">
        <f>IFERROR(IF('Öğrenci Listesi'!A12="","",'Öğrenci Listesi'!A12),"")</f>
        <v/>
      </c>
      <c r="B11" s="14">
        <f>IFERROR(IF('Öğrenci Listesi'!B12="","",'Öğrenci Listesi'!B12),"")</f>
        <v/>
      </c>
      <c r="C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D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E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F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G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H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I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J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K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L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M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N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O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P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Q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R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S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T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U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V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W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X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Y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Z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AA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AB11" s="15">
        <f>IF(OR('Öğrenci Listesi'!B12="",AC11=""),"",ROUND(AVERAGE(C11:AA11),2))</f>
        <v/>
      </c>
      <c r="AC11" s="16">
        <f>IFERROR(IF('Öğrenci Listesi'!G12="","",IF(UPPER(TRIM('Öğrenci Listesi'!G12))="ÇOK İYİ","Çok İyi",IF(UPPER(TRIM('Öğrenci Listesi'!G12))="İYİ","İyi",IF(UPPER(TRIM('Öğrenci Listesi'!G12))="YETERLİ","Yeterli",IF(UPPER(TRIM('Öğrenci Listesi'!G12))="GELİŞTİRİLMELİ","Geliştirilmeli",'Öğrenci Listesi'!G12))))),"")</f>
        <v/>
      </c>
    </row>
    <row r="12" ht="9" customHeight="1">
      <c r="A12" s="13">
        <f>IFERROR(IF('Öğrenci Listesi'!A13="","",'Öğrenci Listesi'!A13),"")</f>
        <v/>
      </c>
      <c r="B12" s="14">
        <f>IFERROR(IF('Öğrenci Listesi'!B13="","",'Öğrenci Listesi'!B13),"")</f>
        <v/>
      </c>
      <c r="C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D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E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F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G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H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I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J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K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L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M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N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O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P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Q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R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S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T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U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V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W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X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Y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Z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AA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AB12" s="15">
        <f>IF(OR('Öğrenci Listesi'!B13="",AC12=""),"",ROUND(AVERAGE(C12:AA12),2))</f>
        <v/>
      </c>
      <c r="AC12" s="16">
        <f>IFERROR(IF('Öğrenci Listesi'!G13="","",IF(UPPER(TRIM('Öğrenci Listesi'!G13))="ÇOK İYİ","Çok İyi",IF(UPPER(TRIM('Öğrenci Listesi'!G13))="İYİ","İyi",IF(UPPER(TRIM('Öğrenci Listesi'!G13))="YETERLİ","Yeterli",IF(UPPER(TRIM('Öğrenci Listesi'!G13))="GELİŞTİRİLMELİ","Geliştirilmeli",'Öğrenci Listesi'!G13))))),"")</f>
        <v/>
      </c>
    </row>
    <row r="13" ht="9" customHeight="1">
      <c r="A13" s="13">
        <f>IFERROR(IF('Öğrenci Listesi'!A14="","",'Öğrenci Listesi'!A14),"")</f>
        <v/>
      </c>
      <c r="B13" s="14">
        <f>IFERROR(IF('Öğrenci Listesi'!B14="","",'Öğrenci Listesi'!B14),"")</f>
        <v/>
      </c>
      <c r="C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D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E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F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G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H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I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J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K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L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M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N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O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P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Q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R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S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T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U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V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W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X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Y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Z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AA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AB13" s="15">
        <f>IF(OR('Öğrenci Listesi'!B14="",AC13=""),"",ROUND(AVERAGE(C13:AA13),2))</f>
        <v/>
      </c>
      <c r="AC13" s="16">
        <f>IFERROR(IF('Öğrenci Listesi'!G14="","",IF(UPPER(TRIM('Öğrenci Listesi'!G14))="ÇOK İYİ","Çok İyi",IF(UPPER(TRIM('Öğrenci Listesi'!G14))="İYİ","İyi",IF(UPPER(TRIM('Öğrenci Listesi'!G14))="YETERLİ","Yeterli",IF(UPPER(TRIM('Öğrenci Listesi'!G14))="GELİŞTİRİLMELİ","Geliştirilmeli",'Öğrenci Listesi'!G14))))),"")</f>
        <v/>
      </c>
    </row>
    <row r="14" ht="9" customHeight="1">
      <c r="A14" s="13">
        <f>IFERROR(IF('Öğrenci Listesi'!A15="","",'Öğrenci Listesi'!A15),"")</f>
        <v/>
      </c>
      <c r="B14" s="14">
        <f>IFERROR(IF('Öğrenci Listesi'!B15="","",'Öğrenci Listesi'!B15),"")</f>
        <v/>
      </c>
      <c r="C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D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E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F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G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H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I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J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K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L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M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N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O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P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Q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R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S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T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U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V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W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X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Y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Z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AA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AB14" s="15">
        <f>IF(OR('Öğrenci Listesi'!B15="",AC14=""),"",ROUND(AVERAGE(C14:AA14),2))</f>
        <v/>
      </c>
      <c r="AC14" s="16">
        <f>IFERROR(IF('Öğrenci Listesi'!G15="","",IF(UPPER(TRIM('Öğrenci Listesi'!G15))="ÇOK İYİ","Çok İyi",IF(UPPER(TRIM('Öğrenci Listesi'!G15))="İYİ","İyi",IF(UPPER(TRIM('Öğrenci Listesi'!G15))="YETERLİ","Yeterli",IF(UPPER(TRIM('Öğrenci Listesi'!G15))="GELİŞTİRİLMELİ","Geliştirilmeli",'Öğrenci Listesi'!G15))))),"")</f>
        <v/>
      </c>
    </row>
    <row r="15" ht="9" customHeight="1">
      <c r="A15" s="13">
        <f>IFERROR(IF('Öğrenci Listesi'!A16="","",'Öğrenci Listesi'!A16),"")</f>
        <v/>
      </c>
      <c r="B15" s="14">
        <f>IFERROR(IF('Öğrenci Listesi'!B16="","",'Öğrenci Listesi'!B16),"")</f>
        <v/>
      </c>
      <c r="C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D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E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F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G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H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I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J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K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L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M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N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O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P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Q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R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S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T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U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V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W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X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Y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Z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AA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AB15" s="15">
        <f>IF(OR('Öğrenci Listesi'!B16="",AC15=""),"",ROUND(AVERAGE(C15:AA15),2))</f>
        <v/>
      </c>
      <c r="AC15" s="16">
        <f>IFERROR(IF('Öğrenci Listesi'!G16="","",IF(UPPER(TRIM('Öğrenci Listesi'!G16))="ÇOK İYİ","Çok İyi",IF(UPPER(TRIM('Öğrenci Listesi'!G16))="İYİ","İyi",IF(UPPER(TRIM('Öğrenci Listesi'!G16))="YETERLİ","Yeterli",IF(UPPER(TRIM('Öğrenci Listesi'!G16))="GELİŞTİRİLMELİ","Geliştirilmeli",'Öğrenci Listesi'!G16))))),"")</f>
        <v/>
      </c>
    </row>
    <row r="16" ht="9" customHeight="1">
      <c r="A16" s="13">
        <f>IFERROR(IF('Öğrenci Listesi'!A17="","",'Öğrenci Listesi'!A17),"")</f>
        <v/>
      </c>
      <c r="B16" s="14">
        <f>IFERROR(IF('Öğrenci Listesi'!B17="","",'Öğrenci Listesi'!B17),"")</f>
        <v/>
      </c>
      <c r="C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D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E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F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G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H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I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J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K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L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M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N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O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P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Q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R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S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T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U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V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W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X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Y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Z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AA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AB16" s="15">
        <f>IF(OR('Öğrenci Listesi'!B17="",AC16=""),"",ROUND(AVERAGE(C16:AA16),2))</f>
        <v/>
      </c>
      <c r="AC16" s="16">
        <f>IFERROR(IF('Öğrenci Listesi'!G17="","",IF(UPPER(TRIM('Öğrenci Listesi'!G17))="ÇOK İYİ","Çok İyi",IF(UPPER(TRIM('Öğrenci Listesi'!G17))="İYİ","İyi",IF(UPPER(TRIM('Öğrenci Listesi'!G17))="YETERLİ","Yeterli",IF(UPPER(TRIM('Öğrenci Listesi'!G17))="GELİŞTİRİLMELİ","Geliştirilmeli",'Öğrenci Listesi'!G17))))),"")</f>
        <v/>
      </c>
    </row>
    <row r="17" ht="9" customHeight="1">
      <c r="A17" s="13">
        <f>IFERROR(IF('Öğrenci Listesi'!A18="","",'Öğrenci Listesi'!A18),"")</f>
        <v/>
      </c>
      <c r="B17" s="14">
        <f>IFERROR(IF('Öğrenci Listesi'!B18="","",'Öğrenci Listesi'!B18),"")</f>
        <v/>
      </c>
      <c r="C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D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E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F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G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H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I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J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K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L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M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N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O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P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Q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R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S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T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U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V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W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X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Y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Z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AA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AB17" s="15">
        <f>IF(OR('Öğrenci Listesi'!B18="",AC17=""),"",ROUND(AVERAGE(C17:AA17),2))</f>
        <v/>
      </c>
      <c r="AC17" s="16">
        <f>IFERROR(IF('Öğrenci Listesi'!G18="","",IF(UPPER(TRIM('Öğrenci Listesi'!G18))="ÇOK İYİ","Çok İyi",IF(UPPER(TRIM('Öğrenci Listesi'!G18))="İYİ","İyi",IF(UPPER(TRIM('Öğrenci Listesi'!G18))="YETERLİ","Yeterli",IF(UPPER(TRIM('Öğrenci Listesi'!G18))="GELİŞTİRİLMELİ","Geliştirilmeli",'Öğrenci Listesi'!G18))))),"")</f>
        <v/>
      </c>
    </row>
    <row r="18" ht="9" customHeight="1">
      <c r="A18" s="13">
        <f>IFERROR(IF('Öğrenci Listesi'!A19="","",'Öğrenci Listesi'!A19),"")</f>
        <v/>
      </c>
      <c r="B18" s="14">
        <f>IFERROR(IF('Öğrenci Listesi'!B19="","",'Öğrenci Listesi'!B19),"")</f>
        <v/>
      </c>
      <c r="C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D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E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F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G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H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I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J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K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L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M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N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O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P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Q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R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S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T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U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V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W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X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Y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Z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AA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AB18" s="15">
        <f>IF(OR('Öğrenci Listesi'!B19="",AC18=""),"",ROUND(AVERAGE(C18:AA18),2))</f>
        <v/>
      </c>
      <c r="AC18" s="16">
        <f>IFERROR(IF('Öğrenci Listesi'!G19="","",IF(UPPER(TRIM('Öğrenci Listesi'!G19))="ÇOK İYİ","Çok İyi",IF(UPPER(TRIM('Öğrenci Listesi'!G19))="İYİ","İyi",IF(UPPER(TRIM('Öğrenci Listesi'!G19))="YETERLİ","Yeterli",IF(UPPER(TRIM('Öğrenci Listesi'!G19))="GELİŞTİRİLMELİ","Geliştirilmeli",'Öğrenci Listesi'!G19))))),"")</f>
        <v/>
      </c>
    </row>
    <row r="19" ht="9" customHeight="1">
      <c r="A19" s="13">
        <f>IFERROR(IF('Öğrenci Listesi'!A20="","",'Öğrenci Listesi'!A20),"")</f>
        <v/>
      </c>
      <c r="B19" s="14">
        <f>IFERROR(IF('Öğrenci Listesi'!B20="","",'Öğrenci Listesi'!B20),"")</f>
        <v/>
      </c>
      <c r="C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D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E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F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G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H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I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J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K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L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M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N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O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P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Q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R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S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T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U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V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W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X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Y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Z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AA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AB19" s="15">
        <f>IF(OR('Öğrenci Listesi'!B20="",AC19=""),"",ROUND(AVERAGE(C19:AA19),2))</f>
        <v/>
      </c>
      <c r="AC19" s="16">
        <f>IFERROR(IF('Öğrenci Listesi'!G20="","",IF(UPPER(TRIM('Öğrenci Listesi'!G20))="ÇOK İYİ","Çok İyi",IF(UPPER(TRIM('Öğrenci Listesi'!G20))="İYİ","İyi",IF(UPPER(TRIM('Öğrenci Listesi'!G20))="YETERLİ","Yeterli",IF(UPPER(TRIM('Öğrenci Listesi'!G20))="GELİŞTİRİLMELİ","Geliştirilmeli",'Öğrenci Listesi'!G20))))),"")</f>
        <v/>
      </c>
    </row>
    <row r="20" ht="9" customHeight="1">
      <c r="A20" s="13">
        <f>IFERROR(IF('Öğrenci Listesi'!A21="","",'Öğrenci Listesi'!A21),"")</f>
        <v/>
      </c>
      <c r="B20" s="14">
        <f>IFERROR(IF('Öğrenci Listesi'!B21="","",'Öğrenci Listesi'!B21),"")</f>
        <v/>
      </c>
      <c r="C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D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E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F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G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H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I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J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K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L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M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N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O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P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Q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R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S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T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U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V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W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X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Y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Z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AA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AB20" s="15">
        <f>IF(OR('Öğrenci Listesi'!B21="",AC20=""),"",ROUND(AVERAGE(C20:AA20),2))</f>
        <v/>
      </c>
      <c r="AC20" s="16">
        <f>IFERROR(IF('Öğrenci Listesi'!G21="","",IF(UPPER(TRIM('Öğrenci Listesi'!G21))="ÇOK İYİ","Çok İyi",IF(UPPER(TRIM('Öğrenci Listesi'!G21))="İYİ","İyi",IF(UPPER(TRIM('Öğrenci Listesi'!G21))="YETERLİ","Yeterli",IF(UPPER(TRIM('Öğrenci Listesi'!G21))="GELİŞTİRİLMELİ","Geliştirilmeli",'Öğrenci Listesi'!G21))))),"")</f>
        <v/>
      </c>
    </row>
    <row r="21" ht="9" customHeight="1">
      <c r="A21" s="13">
        <f>IFERROR(IF('Öğrenci Listesi'!A22="","",'Öğrenci Listesi'!A22),"")</f>
        <v/>
      </c>
      <c r="B21" s="14">
        <f>IFERROR(IF('Öğrenci Listesi'!B22="","",'Öğrenci Listesi'!B22),"")</f>
        <v/>
      </c>
      <c r="C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D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E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F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G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H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I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J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K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L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M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N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O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P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Q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R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S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T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U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V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W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X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Y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Z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AA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AB21" s="15">
        <f>IF(OR('Öğrenci Listesi'!B22="",AC21=""),"",ROUND(AVERAGE(C21:AA21),2))</f>
        <v/>
      </c>
      <c r="AC21" s="16">
        <f>IFERROR(IF('Öğrenci Listesi'!G22="","",IF(UPPER(TRIM('Öğrenci Listesi'!G22))="ÇOK İYİ","Çok İyi",IF(UPPER(TRIM('Öğrenci Listesi'!G22))="İYİ","İyi",IF(UPPER(TRIM('Öğrenci Listesi'!G22))="YETERLİ","Yeterli",IF(UPPER(TRIM('Öğrenci Listesi'!G22))="GELİŞTİRİLMELİ","Geliştirilmeli",'Öğrenci Listesi'!G22))))),"")</f>
        <v/>
      </c>
    </row>
    <row r="22" ht="9" customHeight="1">
      <c r="A22" s="13">
        <f>IFERROR(IF('Öğrenci Listesi'!A23="","",'Öğrenci Listesi'!A23),"")</f>
        <v/>
      </c>
      <c r="B22" s="14">
        <f>IFERROR(IF('Öğrenci Listesi'!B23="","",'Öğrenci Listesi'!B23),"")</f>
        <v/>
      </c>
      <c r="C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D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E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F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G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H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I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J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K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L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M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N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O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P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Q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R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S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T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U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V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W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X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Y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Z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AA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AB22" s="15">
        <f>IF(OR('Öğrenci Listesi'!B23="",AC22=""),"",ROUND(AVERAGE(C22:AA22),2))</f>
        <v/>
      </c>
      <c r="AC22" s="16">
        <f>IFERROR(IF('Öğrenci Listesi'!G23="","",IF(UPPER(TRIM('Öğrenci Listesi'!G23))="ÇOK İYİ","Çok İyi",IF(UPPER(TRIM('Öğrenci Listesi'!G23))="İYİ","İyi",IF(UPPER(TRIM('Öğrenci Listesi'!G23))="YETERLİ","Yeterli",IF(UPPER(TRIM('Öğrenci Listesi'!G23))="GELİŞTİRİLMELİ","Geliştirilmeli",'Öğrenci Listesi'!G23))))),"")</f>
        <v/>
      </c>
    </row>
    <row r="23" ht="9" customHeight="1">
      <c r="A23" s="13">
        <f>IFERROR(IF('Öğrenci Listesi'!A24="","",'Öğrenci Listesi'!A24),"")</f>
        <v/>
      </c>
      <c r="B23" s="14">
        <f>IFERROR(IF('Öğrenci Listesi'!B24="","",'Öğrenci Listesi'!B24),"")</f>
        <v/>
      </c>
      <c r="C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D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E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F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G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H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I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J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K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L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M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N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O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P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Q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R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S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T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U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V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W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X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Y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Z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AA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AB23" s="15">
        <f>IF(OR('Öğrenci Listesi'!B24="",AC23=""),"",ROUND(AVERAGE(C23:AA23),2))</f>
        <v/>
      </c>
      <c r="AC23" s="16">
        <f>IFERROR(IF('Öğrenci Listesi'!G24="","",IF(UPPER(TRIM('Öğrenci Listesi'!G24))="ÇOK İYİ","Çok İyi",IF(UPPER(TRIM('Öğrenci Listesi'!G24))="İYİ","İyi",IF(UPPER(TRIM('Öğrenci Listesi'!G24))="YETERLİ","Yeterli",IF(UPPER(TRIM('Öğrenci Listesi'!G24))="GELİŞTİRİLMELİ","Geliştirilmeli",'Öğrenci Listesi'!G24))))),"")</f>
        <v/>
      </c>
    </row>
    <row r="24" ht="9" customHeight="1">
      <c r="A24" s="13">
        <f>IFERROR(IF('Öğrenci Listesi'!A25="","",'Öğrenci Listesi'!A25),"")</f>
        <v/>
      </c>
      <c r="B24" s="14">
        <f>IFERROR(IF('Öğrenci Listesi'!B25="","",'Öğrenci Listesi'!B25),"")</f>
        <v/>
      </c>
      <c r="C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D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E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F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G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H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I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J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K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L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M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N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O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P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Q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R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S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T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U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V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W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X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Y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Z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AA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AB24" s="15">
        <f>IF(OR('Öğrenci Listesi'!B25="",AC24=""),"",ROUND(AVERAGE(C24:AA24),2))</f>
        <v/>
      </c>
      <c r="AC24" s="16">
        <f>IFERROR(IF('Öğrenci Listesi'!G25="","",IF(UPPER(TRIM('Öğrenci Listesi'!G25))="ÇOK İYİ","Çok İyi",IF(UPPER(TRIM('Öğrenci Listesi'!G25))="İYİ","İyi",IF(UPPER(TRIM('Öğrenci Listesi'!G25))="YETERLİ","Yeterli",IF(UPPER(TRIM('Öğrenci Listesi'!G25))="GELİŞTİRİLMELİ","Geliştirilmeli",'Öğrenci Listesi'!G25))))),"")</f>
        <v/>
      </c>
    </row>
    <row r="25" ht="9" customHeight="1">
      <c r="A25" s="13">
        <f>IFERROR(IF('Öğrenci Listesi'!A26="","",'Öğrenci Listesi'!A26),"")</f>
        <v/>
      </c>
      <c r="B25" s="14">
        <f>IFERROR(IF('Öğrenci Listesi'!B26="","",'Öğrenci Listesi'!B26),"")</f>
        <v/>
      </c>
      <c r="C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D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E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F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G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H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I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J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K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L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M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N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O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P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Q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R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S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T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U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V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W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X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Y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Z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AA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AB25" s="15">
        <f>IF(OR('Öğrenci Listesi'!B26="",AC25=""),"",ROUND(AVERAGE(C25:AA25),2))</f>
        <v/>
      </c>
      <c r="AC25" s="16">
        <f>IFERROR(IF('Öğrenci Listesi'!G26="","",IF(UPPER(TRIM('Öğrenci Listesi'!G26))="ÇOK İYİ","Çok İyi",IF(UPPER(TRIM('Öğrenci Listesi'!G26))="İYİ","İyi",IF(UPPER(TRIM('Öğrenci Listesi'!G26))="YETERLİ","Yeterli",IF(UPPER(TRIM('Öğrenci Listesi'!G26))="GELİŞTİRİLMELİ","Geliştirilmeli",'Öğrenci Listesi'!G26))))),"")</f>
        <v/>
      </c>
    </row>
    <row r="26" ht="9" customHeight="1">
      <c r="A26" s="13">
        <f>IFERROR(IF('Öğrenci Listesi'!A27="","",'Öğrenci Listesi'!A27),"")</f>
        <v/>
      </c>
      <c r="B26" s="14">
        <f>IFERROR(IF('Öğrenci Listesi'!B27="","",'Öğrenci Listesi'!B27),"")</f>
        <v/>
      </c>
      <c r="C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D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E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F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G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H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I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J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K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L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M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N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O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P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Q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R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S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T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U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V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W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X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Y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Z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AA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AB26" s="15">
        <f>IF(OR('Öğrenci Listesi'!B27="",AC26=""),"",ROUND(AVERAGE(C26:AA26),2))</f>
        <v/>
      </c>
      <c r="AC26" s="16">
        <f>IFERROR(IF('Öğrenci Listesi'!G27="","",IF(UPPER(TRIM('Öğrenci Listesi'!G27))="ÇOK İYİ","Çok İyi",IF(UPPER(TRIM('Öğrenci Listesi'!G27))="İYİ","İyi",IF(UPPER(TRIM('Öğrenci Listesi'!G27))="YETERLİ","Yeterli",IF(UPPER(TRIM('Öğrenci Listesi'!G27))="GELİŞTİRİLMELİ","Geliştirilmeli",'Öğrenci Listesi'!G27))))),"")</f>
        <v/>
      </c>
    </row>
    <row r="27" ht="9" customHeight="1">
      <c r="A27" s="13">
        <f>IFERROR(IF('Öğrenci Listesi'!A28="","",'Öğrenci Listesi'!A28),"")</f>
        <v/>
      </c>
      <c r="B27" s="14">
        <f>IFERROR(IF('Öğrenci Listesi'!B28="","",'Öğrenci Listesi'!B28),"")</f>
        <v/>
      </c>
      <c r="C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D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E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F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G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H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I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J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K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L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M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N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O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P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Q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R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S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T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U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V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W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X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Y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Z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AA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AB27" s="15">
        <f>IF(OR('Öğrenci Listesi'!B28="",AC27=""),"",ROUND(AVERAGE(C27:AA27),2))</f>
        <v/>
      </c>
      <c r="AC27" s="16">
        <f>IFERROR(IF('Öğrenci Listesi'!G28="","",IF(UPPER(TRIM('Öğrenci Listesi'!G28))="ÇOK İYİ","Çok İyi",IF(UPPER(TRIM('Öğrenci Listesi'!G28))="İYİ","İyi",IF(UPPER(TRIM('Öğrenci Listesi'!G28))="YETERLİ","Yeterli",IF(UPPER(TRIM('Öğrenci Listesi'!G28))="GELİŞTİRİLMELİ","Geliştirilmeli",'Öğrenci Listesi'!G28))))),"")</f>
        <v/>
      </c>
    </row>
    <row r="28" ht="9" customHeight="1">
      <c r="A28" s="13">
        <f>IFERROR(IF('Öğrenci Listesi'!A29="","",'Öğrenci Listesi'!A29),"")</f>
        <v/>
      </c>
      <c r="B28" s="14">
        <f>IFERROR(IF('Öğrenci Listesi'!B29="","",'Öğrenci Listesi'!B29),"")</f>
        <v/>
      </c>
      <c r="C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D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E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F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G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H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I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J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K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L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M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N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O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P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Q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R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S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T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U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V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W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X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Y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Z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AA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AB28" s="15">
        <f>IF(OR('Öğrenci Listesi'!B29="",AC28=""),"",ROUND(AVERAGE(C28:AA28),2))</f>
        <v/>
      </c>
      <c r="AC28" s="16">
        <f>IFERROR(IF('Öğrenci Listesi'!G29="","",IF(UPPER(TRIM('Öğrenci Listesi'!G29))="ÇOK İYİ","Çok İyi",IF(UPPER(TRIM('Öğrenci Listesi'!G29))="İYİ","İyi",IF(UPPER(TRIM('Öğrenci Listesi'!G29))="YETERLİ","Yeterli",IF(UPPER(TRIM('Öğrenci Listesi'!G29))="GELİŞTİRİLMELİ","Geliştirilmeli",'Öğrenci Listesi'!G29))))),"")</f>
        <v/>
      </c>
    </row>
    <row r="29" ht="9" customHeight="1">
      <c r="A29" s="13">
        <f>IFERROR(IF('Öğrenci Listesi'!A30="","",'Öğrenci Listesi'!A30),"")</f>
        <v/>
      </c>
      <c r="B29" s="14">
        <f>IFERROR(IF('Öğrenci Listesi'!B30="","",'Öğrenci Listesi'!B30),"")</f>
        <v/>
      </c>
      <c r="C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D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E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F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G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H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I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J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K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L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M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N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O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P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Q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R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S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T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U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V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W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X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Y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Z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AA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AB29" s="15">
        <f>IF(OR('Öğrenci Listesi'!B30="",AC29=""),"",ROUND(AVERAGE(C29:AA29),2))</f>
        <v/>
      </c>
      <c r="AC29" s="16">
        <f>IFERROR(IF('Öğrenci Listesi'!G30="","",IF(UPPER(TRIM('Öğrenci Listesi'!G30))="ÇOK İYİ","Çok İyi",IF(UPPER(TRIM('Öğrenci Listesi'!G30))="İYİ","İyi",IF(UPPER(TRIM('Öğrenci Listesi'!G30))="YETERLİ","Yeterli",IF(UPPER(TRIM('Öğrenci Listesi'!G30))="GELİŞTİRİLMELİ","Geliştirilmeli",'Öğrenci Listesi'!G30))))),"")</f>
        <v/>
      </c>
    </row>
    <row r="30" ht="9" customHeight="1">
      <c r="A30" s="13">
        <f>IFERROR(IF('Öğrenci Listesi'!A31="","",'Öğrenci Listesi'!A31),"")</f>
        <v/>
      </c>
      <c r="B30" s="14">
        <f>IFERROR(IF('Öğrenci Listesi'!B31="","",'Öğrenci Listesi'!B31),"")</f>
        <v/>
      </c>
      <c r="C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D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E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F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G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H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I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J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K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L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M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N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O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P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Q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R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S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T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U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V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W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X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Y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Z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AA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AB30" s="15">
        <f>IF(OR('Öğrenci Listesi'!B31="",AC30=""),"",ROUND(AVERAGE(C30:AA30),2))</f>
        <v/>
      </c>
      <c r="AC30" s="16">
        <f>IFERROR(IF('Öğrenci Listesi'!G31="","",IF(UPPER(TRIM('Öğrenci Listesi'!G31))="ÇOK İYİ","Çok İyi",IF(UPPER(TRIM('Öğrenci Listesi'!G31))="İYİ","İyi",IF(UPPER(TRIM('Öğrenci Listesi'!G31))="YETERLİ","Yeterli",IF(UPPER(TRIM('Öğrenci Listesi'!G31))="GELİŞTİRİLMELİ","Geliştirilmeli",'Öğrenci Listesi'!G31))))),"")</f>
        <v/>
      </c>
    </row>
    <row r="31" ht="9" customHeight="1">
      <c r="A31" s="13">
        <f>IFERROR(IF('Öğrenci Listesi'!A32="","",'Öğrenci Listesi'!A32),"")</f>
        <v/>
      </c>
      <c r="B31" s="14">
        <f>IFERROR(IF('Öğrenci Listesi'!B32="","",'Öğrenci Listesi'!B32),"")</f>
        <v/>
      </c>
      <c r="C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D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E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F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G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H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I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J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K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L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M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N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O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P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Q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R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S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T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U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V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W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X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Y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Z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AA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AB31" s="15">
        <f>IF(OR('Öğrenci Listesi'!B32="",AC31=""),"",ROUND(AVERAGE(C31:AA31),2))</f>
        <v/>
      </c>
      <c r="AC31" s="16">
        <f>IFERROR(IF('Öğrenci Listesi'!G32="","",IF(UPPER(TRIM('Öğrenci Listesi'!G32))="ÇOK İYİ","Çok İyi",IF(UPPER(TRIM('Öğrenci Listesi'!G32))="İYİ","İyi",IF(UPPER(TRIM('Öğrenci Listesi'!G32))="YETERLİ","Yeterli",IF(UPPER(TRIM('Öğrenci Listesi'!G32))="GELİŞTİRİLMELİ","Geliştirilmeli",'Öğrenci Listesi'!G32))))),"")</f>
        <v/>
      </c>
    </row>
    <row r="32" ht="9" customHeight="1">
      <c r="A32" s="13">
        <f>IFERROR(IF('Öğrenci Listesi'!A33="","",'Öğrenci Listesi'!A33),"")</f>
        <v/>
      </c>
      <c r="B32" s="14">
        <f>IFERROR(IF('Öğrenci Listesi'!B33="","",'Öğrenci Listesi'!B33),"")</f>
        <v/>
      </c>
      <c r="C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D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E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F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G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H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I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J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K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L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M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N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O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P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Q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R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S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T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U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V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W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X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Y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Z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AA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AB32" s="15">
        <f>IF(OR('Öğrenci Listesi'!B33="",AC32=""),"",ROUND(AVERAGE(C32:AA32),2))</f>
        <v/>
      </c>
      <c r="AC32" s="16">
        <f>IFERROR(IF('Öğrenci Listesi'!G33="","",IF(UPPER(TRIM('Öğrenci Listesi'!G33))="ÇOK İYİ","Çok İyi",IF(UPPER(TRIM('Öğrenci Listesi'!G33))="İYİ","İyi",IF(UPPER(TRIM('Öğrenci Listesi'!G33))="YETERLİ","Yeterli",IF(UPPER(TRIM('Öğrenci Listesi'!G33))="GELİŞTİRİLMELİ","Geliştirilmeli",'Öğrenci Listesi'!G33))))),"")</f>
        <v/>
      </c>
    </row>
    <row r="33" ht="9" customHeight="1">
      <c r="A33" s="13">
        <f>IFERROR(IF('Öğrenci Listesi'!A34="","",'Öğrenci Listesi'!A34),"")</f>
        <v/>
      </c>
      <c r="B33" s="14">
        <f>IFERROR(IF('Öğrenci Listesi'!B34="","",'Öğrenci Listesi'!B34),"")</f>
        <v/>
      </c>
      <c r="C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D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E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F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G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H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I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J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K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L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M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N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O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P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Q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R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S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T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U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V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W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X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Y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Z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AA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AB33" s="15">
        <f>IF(OR('Öğrenci Listesi'!B34="",AC33=""),"",ROUND(AVERAGE(C33:AA33),2))</f>
        <v/>
      </c>
      <c r="AC33" s="16">
        <f>IFERROR(IF('Öğrenci Listesi'!G34="","",IF(UPPER(TRIM('Öğrenci Listesi'!G34))="ÇOK İYİ","Çok İyi",IF(UPPER(TRIM('Öğrenci Listesi'!G34))="İYİ","İyi",IF(UPPER(TRIM('Öğrenci Listesi'!G34))="YETERLİ","Yeterli",IF(UPPER(TRIM('Öğrenci Listesi'!G34))="GELİŞTİRİLMELİ","Geliştirilmeli",'Öğrenci Listesi'!G34))))),"")</f>
        <v/>
      </c>
    </row>
    <row r="34" ht="9" customHeight="1">
      <c r="A34" s="13">
        <f>IFERROR(IF('Öğrenci Listesi'!A35="","",'Öğrenci Listesi'!A35),"")</f>
        <v/>
      </c>
      <c r="B34" s="14">
        <f>IFERROR(IF('Öğrenci Listesi'!B35="","",'Öğrenci Listesi'!B35),"")</f>
        <v/>
      </c>
      <c r="C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D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E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F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G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H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I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J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K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L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M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N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O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P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Q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R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S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T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U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V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W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X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Y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Z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AA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AB34" s="15">
        <f>IF(OR('Öğrenci Listesi'!B35="",AC34=""),"",ROUND(AVERAGE(C34:AA34),2))</f>
        <v/>
      </c>
      <c r="AC34" s="16">
        <f>IFERROR(IF('Öğrenci Listesi'!G35="","",IF(UPPER(TRIM('Öğrenci Listesi'!G35))="ÇOK İYİ","Çok İyi",IF(UPPER(TRIM('Öğrenci Listesi'!G35))="İYİ","İyi",IF(UPPER(TRIM('Öğrenci Listesi'!G35))="YETERLİ","Yeterli",IF(UPPER(TRIM('Öğrenci Listesi'!G35))="GELİŞTİRİLMELİ","Geliştirilmeli",'Öğrenci Listesi'!G35))))),"")</f>
        <v/>
      </c>
    </row>
    <row r="35" ht="9" customHeight="1">
      <c r="A35" s="13">
        <f>IFERROR(IF('Öğrenci Listesi'!A36="","",'Öğrenci Listesi'!A36),"")</f>
        <v/>
      </c>
      <c r="B35" s="14">
        <f>IFERROR(IF('Öğrenci Listesi'!B36="","",'Öğrenci Listesi'!B36),"")</f>
        <v/>
      </c>
      <c r="C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D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E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F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G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H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I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J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K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L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M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N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O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P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Q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R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S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T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U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V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W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X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Y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Z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AA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AB35" s="15">
        <f>IF(OR('Öğrenci Listesi'!B36="",AC35=""),"",ROUND(AVERAGE(C35:AA35),2))</f>
        <v/>
      </c>
      <c r="AC35" s="16">
        <f>IFERROR(IF('Öğrenci Listesi'!G36="","",IF(UPPER(TRIM('Öğrenci Listesi'!G36))="ÇOK İYİ","Çok İyi",IF(UPPER(TRIM('Öğrenci Listesi'!G36))="İYİ","İyi",IF(UPPER(TRIM('Öğrenci Listesi'!G36))="YETERLİ","Yeterli",IF(UPPER(TRIM('Öğrenci Listesi'!G36))="GELİŞTİRİLMELİ","Geliştirilmeli",'Öğrenci Listesi'!G36))))),"")</f>
        <v/>
      </c>
    </row>
    <row r="36" ht="9" customHeight="1">
      <c r="A36" s="13">
        <f>IFERROR(IF('Öğrenci Listesi'!A37="","",'Öğrenci Listesi'!A37),"")</f>
        <v/>
      </c>
      <c r="B36" s="14">
        <f>IFERROR(IF('Öğrenci Listesi'!B37="","",'Öğrenci Listesi'!B37),"")</f>
        <v/>
      </c>
      <c r="C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D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E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F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G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H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I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J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K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L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M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N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O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P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Q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R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S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T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U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V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W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X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Y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Z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AA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AB36" s="15">
        <f>IF(OR('Öğrenci Listesi'!B37="",AC36=""),"",ROUND(AVERAGE(C36:AA36),2))</f>
        <v/>
      </c>
      <c r="AC36" s="16">
        <f>IFERROR(IF('Öğrenci Listesi'!G37="","",IF(UPPER(TRIM('Öğrenci Listesi'!G37))="ÇOK İYİ","Çok İyi",IF(UPPER(TRIM('Öğrenci Listesi'!G37))="İYİ","İyi",IF(UPPER(TRIM('Öğrenci Listesi'!G37))="YETERLİ","Yeterli",IF(UPPER(TRIM('Öğrenci Listesi'!G37))="GELİŞTİRİLMELİ","Geliştirilmeli",'Öğrenci Listesi'!G37))))),"")</f>
        <v/>
      </c>
    </row>
    <row r="37" ht="9" customHeight="1">
      <c r="A37" s="13">
        <f>IFERROR(IF('Öğrenci Listesi'!A38="","",'Öğrenci Listesi'!A38),"")</f>
        <v/>
      </c>
      <c r="B37" s="14">
        <f>IFERROR(IF('Öğrenci Listesi'!B38="","",'Öğrenci Listesi'!B38),"")</f>
        <v/>
      </c>
      <c r="C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D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E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F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G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H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I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J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K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L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M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N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O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P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Q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R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S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T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U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V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W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X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Y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Z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AA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AB37" s="15">
        <f>IF(OR('Öğrenci Listesi'!B38="",AC37=""),"",ROUND(AVERAGE(C37:AA37),2))</f>
        <v/>
      </c>
      <c r="AC37" s="16">
        <f>IFERROR(IF('Öğrenci Listesi'!G38="","",IF(UPPER(TRIM('Öğrenci Listesi'!G38))="ÇOK İYİ","Çok İyi",IF(UPPER(TRIM('Öğrenci Listesi'!G38))="İYİ","İyi",IF(UPPER(TRIM('Öğrenci Listesi'!G38))="YETERLİ","Yeterli",IF(UPPER(TRIM('Öğrenci Listesi'!G38))="GELİŞTİRİLMELİ","Geliştirilmeli",'Öğrenci Listesi'!G38))))),"")</f>
        <v/>
      </c>
    </row>
    <row r="38" ht="9" customHeight="1">
      <c r="A38" s="13">
        <f>IFERROR(IF('Öğrenci Listesi'!A39="","",'Öğrenci Listesi'!A39),"")</f>
        <v/>
      </c>
      <c r="B38" s="14">
        <f>IFERROR(IF('Öğrenci Listesi'!B39="","",'Öğrenci Listesi'!B39),"")</f>
        <v/>
      </c>
      <c r="C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D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E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F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G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H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I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J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K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L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M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N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O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P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Q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R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S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T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U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V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W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X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Y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Z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AA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AB38" s="15">
        <f>IF(OR('Öğrenci Listesi'!B39="",AC38=""),"",ROUND(AVERAGE(C38:AA38),2))</f>
        <v/>
      </c>
      <c r="AC38" s="16">
        <f>IFERROR(IF('Öğrenci Listesi'!G39="","",IF(UPPER(TRIM('Öğrenci Listesi'!G39))="ÇOK İYİ","Çok İyi",IF(UPPER(TRIM('Öğrenci Listesi'!G39))="İYİ","İyi",IF(UPPER(TRIM('Öğrenci Listesi'!G39))="YETERLİ","Yeterli",IF(UPPER(TRIM('Öğrenci Listesi'!G39))="GELİŞTİRİLMELİ","Geliştirilmeli",'Öğrenci Listesi'!G39))))),"")</f>
        <v/>
      </c>
    </row>
    <row r="39" ht="9" customHeight="1">
      <c r="A39" s="13">
        <f>IFERROR(IF('Öğrenci Listesi'!A40="","",'Öğrenci Listesi'!A40),"")</f>
        <v/>
      </c>
      <c r="B39" s="14">
        <f>IFERROR(IF('Öğrenci Listesi'!B40="","",'Öğrenci Listesi'!B40),"")</f>
        <v/>
      </c>
      <c r="C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D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E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F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G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H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I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J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K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L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M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N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O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P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Q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R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S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T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U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V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W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X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Y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Z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AA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AB39" s="15">
        <f>IF(OR('Öğrenci Listesi'!B40="",AC39=""),"",ROUND(AVERAGE(C39:AA39),2))</f>
        <v/>
      </c>
      <c r="AC39" s="16">
        <f>IFERROR(IF('Öğrenci Listesi'!G40="","",IF(UPPER(TRIM('Öğrenci Listesi'!G40))="ÇOK İYİ","Çok İyi",IF(UPPER(TRIM('Öğrenci Listesi'!G40))="İYİ","İyi",IF(UPPER(TRIM('Öğrenci Listesi'!G40))="YETERLİ","Yeterli",IF(UPPER(TRIM('Öğrenci Listesi'!G40))="GELİŞTİRİLMELİ","Geliştirilmeli",'Öğrenci Listesi'!G40))))),"")</f>
        <v/>
      </c>
    </row>
    <row r="40" ht="9" customHeight="1">
      <c r="A40" s="13">
        <f>IFERROR(IF('Öğrenci Listesi'!A41="","",'Öğrenci Listesi'!A41),"")</f>
        <v/>
      </c>
      <c r="B40" s="14">
        <f>IFERROR(IF('Öğrenci Listesi'!B41="","",'Öğrenci Listesi'!B41),"")</f>
        <v/>
      </c>
      <c r="C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D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E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F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G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H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I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J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K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L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M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N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O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P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Q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R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S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T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U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V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W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X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Y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Z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AA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AB40" s="15">
        <f>IF(OR('Öğrenci Listesi'!B41="",AC40=""),"",ROUND(AVERAGE(C40:AA40),2))</f>
        <v/>
      </c>
      <c r="AC40" s="16">
        <f>IFERROR(IF('Öğrenci Listesi'!G41="","",IF(UPPER(TRIM('Öğrenci Listesi'!G41))="ÇOK İYİ","Çok İyi",IF(UPPER(TRIM('Öğrenci Listesi'!G41))="İYİ","İyi",IF(UPPER(TRIM('Öğrenci Listesi'!G41))="YETERLİ","Yeterli",IF(UPPER(TRIM('Öğrenci Listesi'!G41))="GELİŞTİRİLMELİ","Geliştirilmeli",'Öğrenci Listesi'!G41))))),"")</f>
        <v/>
      </c>
    </row>
    <row r="41" ht="9" customHeight="1">
      <c r="A41" s="13">
        <f>IFERROR(IF('Öğrenci Listesi'!A42="","",'Öğrenci Listesi'!A42),"")</f>
        <v/>
      </c>
      <c r="B41" s="14">
        <f>IFERROR(IF('Öğrenci Listesi'!B42="","",'Öğrenci Listesi'!B42),"")</f>
        <v/>
      </c>
      <c r="C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D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E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F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G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H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I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J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K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L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M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N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O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P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Q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R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S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T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U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V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W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X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Y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Z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AA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AB41" s="15">
        <f>IF(OR('Öğrenci Listesi'!B42="",AC41=""),"",ROUND(AVERAGE(C41:AA41),2))</f>
        <v/>
      </c>
      <c r="AC41" s="16">
        <f>IFERROR(IF('Öğrenci Listesi'!G42="","",IF(UPPER(TRIM('Öğrenci Listesi'!G42))="ÇOK İYİ","Çok İyi",IF(UPPER(TRIM('Öğrenci Listesi'!G42))="İYİ","İyi",IF(UPPER(TRIM('Öğrenci Listesi'!G42))="YETERLİ","Yeterli",IF(UPPER(TRIM('Öğrenci Listesi'!G42))="GELİŞTİRİLMELİ","Geliştirilmeli",'Öğrenci Listesi'!G42))))),"")</f>
        <v/>
      </c>
    </row>
    <row r="42" ht="9" customHeight="1">
      <c r="A42" s="13">
        <f>IFERROR(IF('Öğrenci Listesi'!A43="","",'Öğrenci Listesi'!A43),"")</f>
        <v/>
      </c>
      <c r="B42" s="14">
        <f>IFERROR(IF('Öğrenci Listesi'!B43="","",'Öğrenci Listesi'!B43),"")</f>
        <v/>
      </c>
      <c r="C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D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E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F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G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H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I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J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K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L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M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N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O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P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Q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R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S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T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U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V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W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X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Y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Z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AA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AB42" s="15">
        <f>IF(OR('Öğrenci Listesi'!B43="",AC42=""),"",ROUND(AVERAGE(C42:AA42),2))</f>
        <v/>
      </c>
      <c r="AC42" s="16">
        <f>IFERROR(IF('Öğrenci Listesi'!G43="","",IF(UPPER(TRIM('Öğrenci Listesi'!G43))="ÇOK İYİ","Çok İyi",IF(UPPER(TRIM('Öğrenci Listesi'!G43))="İYİ","İyi",IF(UPPER(TRIM('Öğrenci Listesi'!G43))="YETERLİ","Yeterli",IF(UPPER(TRIM('Öğrenci Listesi'!G43))="GELİŞTİRİLMELİ","Geliştirilmeli",'Öğrenci Listesi'!G43))))),"")</f>
        <v/>
      </c>
    </row>
    <row r="43" ht="9" customHeight="1">
      <c r="A43" s="13">
        <f>IFERROR(IF('Öğrenci Listesi'!A44="","",'Öğrenci Listesi'!A44),"")</f>
        <v/>
      </c>
      <c r="B43" s="14">
        <f>IFERROR(IF('Öğrenci Listesi'!B44="","",'Öğrenci Listesi'!B44),"")</f>
        <v/>
      </c>
      <c r="C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D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E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F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G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H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I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J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K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L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M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N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O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P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Q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R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S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T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U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V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W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X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Y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Z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AA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AB43" s="15">
        <f>IF(OR('Öğrenci Listesi'!B44="",AC43=""),"",ROUND(AVERAGE(C43:AA43),2))</f>
        <v/>
      </c>
      <c r="AC43" s="16">
        <f>IFERROR(IF('Öğrenci Listesi'!G44="","",IF(UPPER(TRIM('Öğrenci Listesi'!G44))="ÇOK İYİ","Çok İyi",IF(UPPER(TRIM('Öğrenci Listesi'!G44))="İYİ","İyi",IF(UPPER(TRIM('Öğrenci Listesi'!G44))="YETERLİ","Yeterli",IF(UPPER(TRIM('Öğrenci Listesi'!G44))="GELİŞTİRİLMELİ","Geliştirilmeli",'Öğrenci Listesi'!G44))))),"")</f>
        <v/>
      </c>
    </row>
    <row r="44" ht="9" customHeight="1">
      <c r="A44" s="13">
        <f>IFERROR(IF('Öğrenci Listesi'!A45="","",'Öğrenci Listesi'!A45),"")</f>
        <v/>
      </c>
      <c r="B44" s="14">
        <f>IFERROR(IF('Öğrenci Listesi'!B45="","",'Öğrenci Listesi'!B45),"")</f>
        <v/>
      </c>
      <c r="C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D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E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F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G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H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I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J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K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L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M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N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O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P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Q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R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S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T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U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V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W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X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Y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Z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AA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AB44" s="15">
        <f>IF(OR('Öğrenci Listesi'!B45="",AC44=""),"",ROUND(AVERAGE(C44:AA44),2))</f>
        <v/>
      </c>
      <c r="AC44" s="16">
        <f>IFERROR(IF('Öğrenci Listesi'!G45="","",IF(UPPER(TRIM('Öğrenci Listesi'!G45))="ÇOK İYİ","Çok İyi",IF(UPPER(TRIM('Öğrenci Listesi'!G45))="İYİ","İyi",IF(UPPER(TRIM('Öğrenci Listesi'!G45))="YETERLİ","Yeterli",IF(UPPER(TRIM('Öğrenci Listesi'!G45))="GELİŞTİRİLMELİ","Geliştirilmeli",'Öğrenci Listesi'!G45))))),"")</f>
        <v/>
      </c>
    </row>
    <row r="46" ht="14" customHeight="1">
      <c r="A46" s="17" t="inlineStr">
        <is>
          <t>DEĞERLENDİRME ÖLÇEĞİ:  4 = Çok İyi  •  3 = İyi  •  2 = Yeterli  •  1 = Geliştirilmeli  |  💡 Öğrenci sayınız azsa boş satırları seçip silin</t>
        </is>
      </c>
    </row>
    <row r="47" ht="18" customHeight="1">
      <c r="A47" s="18">
        <f>Bilgiler!B6&amp;" Sınıf Öğretmeni"</f>
        <v/>
      </c>
      <c r="O47" s="18" t="inlineStr">
        <is>
          <t>Okul Müdürü</t>
        </is>
      </c>
    </row>
    <row r="48" ht="12" customHeight="1"/>
    <row r="49" ht="18" customHeight="1">
      <c r="A49" s="18">
        <f>Bilgiler!B9</f>
        <v/>
      </c>
      <c r="O49" s="18">
        <f>Bilgiler!B10</f>
        <v/>
      </c>
    </row>
  </sheetData>
  <mergeCells count="7">
    <mergeCell ref="A1:AC1"/>
    <mergeCell ref="A46:AC46"/>
    <mergeCell ref="O49:AC49"/>
    <mergeCell ref="O47:AC47"/>
    <mergeCell ref="A49:N49"/>
    <mergeCell ref="A47:N47"/>
    <mergeCell ref="A2:AC2"/>
  </mergeCells>
  <conditionalFormatting sqref="AC5:AC44">
    <cfRule type="expression" priority="1" dxfId="0">
      <formula>AC5="Çok İyi"</formula>
    </cfRule>
    <cfRule type="expression" priority="2" dxfId="1">
      <formula>AC5="İyi"</formula>
    </cfRule>
    <cfRule type="expression" priority="3" dxfId="2">
      <formula>AC5="Yeterli"</formula>
    </cfRule>
    <cfRule type="expression" priority="4" dxfId="3">
      <formula>AC5="Geliştirilmeli"</formula>
    </cfRule>
  </conditionalFormatting>
  <conditionalFormatting sqref="AB5:AB44">
    <cfRule type="cellIs" priority="5" operator="greaterThanOrEqual" dxfId="0">
      <formula>3</formula>
    </cfRule>
    <cfRule type="cellIs" priority="6" operator="between" dxfId="1">
      <formula>2</formula>
      <formula>2.99</formula>
    </cfRule>
    <cfRule type="cellIs" priority="7" operator="between" dxfId="2">
      <formula>1.5</formula>
      <formula>1.99</formula>
    </cfRule>
    <cfRule type="cellIs" priority="8" operator="between" dxfId="3">
      <formula>0.01</formula>
      <formula>1.49</formula>
    </cfRule>
  </conditionalFormatting>
  <printOptions horizontalCentered="1"/>
  <pageMargins left="0.2" right="0.2" top="0.3" bottom="0.3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2026-05-08T22:41:01Z</dcterms:created>
  <dcterms:modified xmlns:dcterms="http://purl.org/dc/terms/" xmlns:xsi="http://www.w3.org/2001/XMLSchema-instance" xsi:type="dcterms:W3CDTF">2026-05-08T22:41:01Z</dcterms:modified>
</cp:coreProperties>
</file>