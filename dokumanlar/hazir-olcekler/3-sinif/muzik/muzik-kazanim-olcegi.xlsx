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ler" sheetId="1" state="visible" r:id="rId1"/>
    <sheet xmlns:r="http://schemas.openxmlformats.org/officeDocument/2006/relationships" name="Öğrenci Listesi" sheetId="2" state="visible" r:id="rId2"/>
    <sheet xmlns:r="http://schemas.openxmlformats.org/officeDocument/2006/relationships" name="Ölçek" sheetId="3" state="visible" r:id="rId3"/>
  </sheets>
  <definedNames>
    <definedName name="_xlnm.Print_Area" localSheetId="2">'Ölçek'!$A$1:$R$49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8716C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78716C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FFFFFF"/>
      <sz val="7"/>
    </font>
    <font>
      <name val="Arial"/>
      <b val="1"/>
      <color rgb="FFFFFFFF"/>
      <sz val="6"/>
    </font>
    <font>
      <name val="Arial"/>
      <sz val="7"/>
    </font>
    <font>
      <name val="Arial"/>
      <b val="1"/>
      <sz val="7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E7F3FF"/>
        <bgColor rgb="FFE7F3FF"/>
      </patternFill>
    </fill>
    <fill>
      <patternFill patternType="solid">
        <fgColor rgb="FFFFF8E7"/>
        <bgColor rgb="FFFFF8E7"/>
      </patternFill>
    </fill>
    <fill>
      <patternFill patternType="solid">
        <fgColor rgb="FFF5F5F4"/>
        <bgColor rgb="FFF5F5F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bottom" textRotation="90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📝 BİLGİLERİ DOLDURUNUZ</t>
        </is>
      </c>
    </row>
    <row r="2" ht="30" customHeight="1">
      <c r="A2" s="2" t="inlineStr">
        <is>
          <t>Aşağıdaki bilgileri kendi okulunuza ve sınıfınıza göre doldurun. 'Ölçek' sayfasındaki başlıklar otomatik güncellenecek.</t>
        </is>
      </c>
    </row>
    <row r="4" ht="28" customHeight="1">
      <c r="A4" s="3" t="inlineStr">
        <is>
          <t>Okul Adı</t>
        </is>
      </c>
      <c r="B4" s="4" t="n"/>
    </row>
    <row r="5" ht="28" customHeight="1">
      <c r="A5" s="3" t="inlineStr">
        <is>
          <t>Eğitim Öğretim Yılı</t>
        </is>
      </c>
      <c r="B5" s="4" t="n"/>
    </row>
    <row r="6" ht="28" customHeight="1">
      <c r="A6" s="3" t="inlineStr">
        <is>
          <t>Sınıf / Şube</t>
        </is>
      </c>
      <c r="B6" s="4" t="n"/>
    </row>
    <row r="7" ht="28" customHeight="1">
      <c r="A7" s="3" t="inlineStr">
        <is>
          <t>Dönem</t>
        </is>
      </c>
      <c r="B7" s="4" t="n"/>
    </row>
    <row r="8" ht="28" customHeight="1">
      <c r="A8" s="3" t="inlineStr">
        <is>
          <t>Ders</t>
        </is>
      </c>
      <c r="B8" s="4" t="inlineStr">
        <is>
          <t>Müzik</t>
        </is>
      </c>
    </row>
    <row r="9" ht="28" customHeight="1">
      <c r="A9" s="3" t="inlineStr">
        <is>
          <t>Sınıf Öğretmeni</t>
        </is>
      </c>
      <c r="B9" s="4" t="n"/>
    </row>
    <row r="10" ht="28" customHeight="1">
      <c r="A10" s="3" t="inlineStr">
        <is>
          <t>Okul Müdürü</t>
        </is>
      </c>
      <c r="B1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</cols>
  <sheetData>
    <row r="1" ht="30" customHeight="1">
      <c r="A1" s="1" t="inlineStr">
        <is>
          <t>📋 SİSTEMDEN ÖĞRENCİ LİSTESİNİ BURAYA YAPIŞTIRIN</t>
        </is>
      </c>
    </row>
    <row r="2" ht="20" customHeight="1">
      <c r="A2" s="2" t="inlineStr">
        <is>
          <t>Sistemde notları işaretledikten sonra tüm tabloyu kopyalayın (Ctrl+C), aşağıdaki sarı alana yapıştırın (Ctrl+V).</t>
        </is>
      </c>
    </row>
    <row r="3" ht="18" customHeight="1">
      <c r="A3" s="5" t="inlineStr">
        <is>
          <t>✓ Öğrenci adları, numaraları ve seviyeler 'Ölçek' sayfasına otomatik aktarılacak.</t>
        </is>
      </c>
    </row>
    <row r="5" ht="22" customHeight="1">
      <c r="A5" s="6" t="inlineStr">
        <is>
          <t>NO</t>
        </is>
      </c>
      <c r="B5" s="6" t="inlineStr">
        <is>
          <t>ADI SOYADI</t>
        </is>
      </c>
      <c r="C5" s="6" t="inlineStr">
        <is>
          <t>Geliştirilmeli</t>
        </is>
      </c>
      <c r="D5" s="6" t="inlineStr">
        <is>
          <t>Yeterli</t>
        </is>
      </c>
      <c r="E5" s="6" t="inlineStr">
        <is>
          <t>İyi</t>
        </is>
      </c>
      <c r="F5" s="6" t="inlineStr">
        <is>
          <t>Çok İyi</t>
        </is>
      </c>
      <c r="G5" s="6" t="inlineStr">
        <is>
          <t>SONUÇ</t>
        </is>
      </c>
      <c r="H5" s="6" t="inlineStr">
        <is>
          <t>(yok sayılır)</t>
        </is>
      </c>
    </row>
    <row r="6" ht="18" customHeight="1">
      <c r="A6" s="7" t="n"/>
      <c r="B6" s="8" t="n"/>
      <c r="C6" s="9" t="n"/>
      <c r="D6" s="9" t="n"/>
      <c r="E6" s="9" t="n"/>
      <c r="F6" s="9" t="n"/>
      <c r="G6" s="7" t="n"/>
      <c r="H6" s="9" t="n"/>
    </row>
    <row r="7" ht="18" customHeight="1">
      <c r="A7" s="7" t="n"/>
      <c r="B7" s="8" t="n"/>
      <c r="C7" s="9" t="n"/>
      <c r="D7" s="9" t="n"/>
      <c r="E7" s="9" t="n"/>
      <c r="F7" s="9" t="n"/>
      <c r="G7" s="7" t="n"/>
      <c r="H7" s="9" t="n"/>
    </row>
    <row r="8" ht="18" customHeight="1">
      <c r="A8" s="7" t="n"/>
      <c r="B8" s="8" t="n"/>
      <c r="C8" s="9" t="n"/>
      <c r="D8" s="9" t="n"/>
      <c r="E8" s="9" t="n"/>
      <c r="F8" s="9" t="n"/>
      <c r="G8" s="7" t="n"/>
      <c r="H8" s="9" t="n"/>
    </row>
    <row r="9" ht="18" customHeight="1">
      <c r="A9" s="7" t="n"/>
      <c r="B9" s="8" t="n"/>
      <c r="C9" s="9" t="n"/>
      <c r="D9" s="9" t="n"/>
      <c r="E9" s="9" t="n"/>
      <c r="F9" s="9" t="n"/>
      <c r="G9" s="7" t="n"/>
      <c r="H9" s="9" t="n"/>
    </row>
    <row r="10" ht="18" customHeight="1">
      <c r="A10" s="7" t="n"/>
      <c r="B10" s="8" t="n"/>
      <c r="C10" s="9" t="n"/>
      <c r="D10" s="9" t="n"/>
      <c r="E10" s="9" t="n"/>
      <c r="F10" s="9" t="n"/>
      <c r="G10" s="7" t="n"/>
      <c r="H10" s="9" t="n"/>
    </row>
    <row r="11" ht="18" customHeight="1">
      <c r="A11" s="7" t="n"/>
      <c r="B11" s="8" t="n"/>
      <c r="C11" s="9" t="n"/>
      <c r="D11" s="9" t="n"/>
      <c r="E11" s="9" t="n"/>
      <c r="F11" s="9" t="n"/>
      <c r="G11" s="7" t="n"/>
      <c r="H11" s="9" t="n"/>
    </row>
    <row r="12" ht="18" customHeight="1">
      <c r="A12" s="7" t="n"/>
      <c r="B12" s="8" t="n"/>
      <c r="C12" s="9" t="n"/>
      <c r="D12" s="9" t="n"/>
      <c r="E12" s="9" t="n"/>
      <c r="F12" s="9" t="n"/>
      <c r="G12" s="7" t="n"/>
      <c r="H12" s="9" t="n"/>
    </row>
    <row r="13" ht="18" customHeight="1">
      <c r="A13" s="7" t="n"/>
      <c r="B13" s="8" t="n"/>
      <c r="C13" s="9" t="n"/>
      <c r="D13" s="9" t="n"/>
      <c r="E13" s="9" t="n"/>
      <c r="F13" s="9" t="n"/>
      <c r="G13" s="7" t="n"/>
      <c r="H13" s="9" t="n"/>
    </row>
    <row r="14" ht="18" customHeight="1">
      <c r="A14" s="7" t="n"/>
      <c r="B14" s="8" t="n"/>
      <c r="C14" s="9" t="n"/>
      <c r="D14" s="9" t="n"/>
      <c r="E14" s="9" t="n"/>
      <c r="F14" s="9" t="n"/>
      <c r="G14" s="7" t="n"/>
      <c r="H14" s="9" t="n"/>
    </row>
    <row r="15" ht="18" customHeight="1">
      <c r="A15" s="7" t="n"/>
      <c r="B15" s="8" t="n"/>
      <c r="C15" s="9" t="n"/>
      <c r="D15" s="9" t="n"/>
      <c r="E15" s="9" t="n"/>
      <c r="F15" s="9" t="n"/>
      <c r="G15" s="7" t="n"/>
      <c r="H15" s="9" t="n"/>
    </row>
    <row r="16" ht="18" customHeight="1">
      <c r="A16" s="7" t="n"/>
      <c r="B16" s="8" t="n"/>
      <c r="C16" s="9" t="n"/>
      <c r="D16" s="9" t="n"/>
      <c r="E16" s="9" t="n"/>
      <c r="F16" s="9" t="n"/>
      <c r="G16" s="7" t="n"/>
      <c r="H16" s="9" t="n"/>
    </row>
    <row r="17" ht="18" customHeight="1">
      <c r="A17" s="7" t="n"/>
      <c r="B17" s="8" t="n"/>
      <c r="C17" s="9" t="n"/>
      <c r="D17" s="9" t="n"/>
      <c r="E17" s="9" t="n"/>
      <c r="F17" s="9" t="n"/>
      <c r="G17" s="7" t="n"/>
      <c r="H17" s="9" t="n"/>
    </row>
    <row r="18" ht="18" customHeight="1">
      <c r="A18" s="7" t="n"/>
      <c r="B18" s="8" t="n"/>
      <c r="C18" s="9" t="n"/>
      <c r="D18" s="9" t="n"/>
      <c r="E18" s="9" t="n"/>
      <c r="F18" s="9" t="n"/>
      <c r="G18" s="7" t="n"/>
      <c r="H18" s="9" t="n"/>
    </row>
    <row r="19" ht="18" customHeight="1">
      <c r="A19" s="7" t="n"/>
      <c r="B19" s="8" t="n"/>
      <c r="C19" s="9" t="n"/>
      <c r="D19" s="9" t="n"/>
      <c r="E19" s="9" t="n"/>
      <c r="F19" s="9" t="n"/>
      <c r="G19" s="7" t="n"/>
      <c r="H19" s="9" t="n"/>
    </row>
    <row r="20" ht="18" customHeight="1">
      <c r="A20" s="7" t="n"/>
      <c r="B20" s="8" t="n"/>
      <c r="C20" s="9" t="n"/>
      <c r="D20" s="9" t="n"/>
      <c r="E20" s="9" t="n"/>
      <c r="F20" s="9" t="n"/>
      <c r="G20" s="7" t="n"/>
      <c r="H20" s="9" t="n"/>
    </row>
    <row r="21" ht="18" customHeight="1">
      <c r="A21" s="7" t="n"/>
      <c r="B21" s="8" t="n"/>
      <c r="C21" s="9" t="n"/>
      <c r="D21" s="9" t="n"/>
      <c r="E21" s="9" t="n"/>
      <c r="F21" s="9" t="n"/>
      <c r="G21" s="7" t="n"/>
      <c r="H21" s="9" t="n"/>
    </row>
    <row r="22" ht="18" customHeight="1">
      <c r="A22" s="7" t="n"/>
      <c r="B22" s="8" t="n"/>
      <c r="C22" s="9" t="n"/>
      <c r="D22" s="9" t="n"/>
      <c r="E22" s="9" t="n"/>
      <c r="F22" s="9" t="n"/>
      <c r="G22" s="7" t="n"/>
      <c r="H22" s="9" t="n"/>
    </row>
    <row r="23" ht="18" customHeight="1">
      <c r="A23" s="7" t="n"/>
      <c r="B23" s="8" t="n"/>
      <c r="C23" s="9" t="n"/>
      <c r="D23" s="9" t="n"/>
      <c r="E23" s="9" t="n"/>
      <c r="F23" s="9" t="n"/>
      <c r="G23" s="7" t="n"/>
      <c r="H23" s="9" t="n"/>
    </row>
    <row r="24" ht="18" customHeight="1">
      <c r="A24" s="7" t="n"/>
      <c r="B24" s="8" t="n"/>
      <c r="C24" s="9" t="n"/>
      <c r="D24" s="9" t="n"/>
      <c r="E24" s="9" t="n"/>
      <c r="F24" s="9" t="n"/>
      <c r="G24" s="7" t="n"/>
      <c r="H24" s="9" t="n"/>
    </row>
    <row r="25" ht="18" customHeight="1">
      <c r="A25" s="7" t="n"/>
      <c r="B25" s="8" t="n"/>
      <c r="C25" s="9" t="n"/>
      <c r="D25" s="9" t="n"/>
      <c r="E25" s="9" t="n"/>
      <c r="F25" s="9" t="n"/>
      <c r="G25" s="7" t="n"/>
      <c r="H25" s="9" t="n"/>
    </row>
    <row r="26" ht="18" customHeight="1">
      <c r="A26" s="7" t="n"/>
      <c r="B26" s="8" t="n"/>
      <c r="C26" s="9" t="n"/>
      <c r="D26" s="9" t="n"/>
      <c r="E26" s="9" t="n"/>
      <c r="F26" s="9" t="n"/>
      <c r="G26" s="7" t="n"/>
      <c r="H26" s="9" t="n"/>
    </row>
    <row r="27" ht="18" customHeight="1">
      <c r="A27" s="7" t="n"/>
      <c r="B27" s="8" t="n"/>
      <c r="C27" s="9" t="n"/>
      <c r="D27" s="9" t="n"/>
      <c r="E27" s="9" t="n"/>
      <c r="F27" s="9" t="n"/>
      <c r="G27" s="7" t="n"/>
      <c r="H27" s="9" t="n"/>
    </row>
    <row r="28" ht="18" customHeight="1">
      <c r="A28" s="7" t="n"/>
      <c r="B28" s="8" t="n"/>
      <c r="C28" s="9" t="n"/>
      <c r="D28" s="9" t="n"/>
      <c r="E28" s="9" t="n"/>
      <c r="F28" s="9" t="n"/>
      <c r="G28" s="7" t="n"/>
      <c r="H28" s="9" t="n"/>
    </row>
    <row r="29" ht="18" customHeight="1">
      <c r="A29" s="7" t="n"/>
      <c r="B29" s="8" t="n"/>
      <c r="C29" s="9" t="n"/>
      <c r="D29" s="9" t="n"/>
      <c r="E29" s="9" t="n"/>
      <c r="F29" s="9" t="n"/>
      <c r="G29" s="7" t="n"/>
      <c r="H29" s="9" t="n"/>
    </row>
    <row r="30" ht="18" customHeight="1">
      <c r="A30" s="7" t="n"/>
      <c r="B30" s="8" t="n"/>
      <c r="C30" s="9" t="n"/>
      <c r="D30" s="9" t="n"/>
      <c r="E30" s="9" t="n"/>
      <c r="F30" s="9" t="n"/>
      <c r="G30" s="7" t="n"/>
      <c r="H30" s="9" t="n"/>
    </row>
    <row r="31" ht="18" customHeight="1">
      <c r="A31" s="7" t="n"/>
      <c r="B31" s="8" t="n"/>
      <c r="C31" s="9" t="n"/>
      <c r="D31" s="9" t="n"/>
      <c r="E31" s="9" t="n"/>
      <c r="F31" s="9" t="n"/>
      <c r="G31" s="7" t="n"/>
      <c r="H31" s="9" t="n"/>
    </row>
    <row r="32" ht="18" customHeight="1">
      <c r="A32" s="7" t="n"/>
      <c r="B32" s="8" t="n"/>
      <c r="C32" s="9" t="n"/>
      <c r="D32" s="9" t="n"/>
      <c r="E32" s="9" t="n"/>
      <c r="F32" s="9" t="n"/>
      <c r="G32" s="7" t="n"/>
      <c r="H32" s="9" t="n"/>
    </row>
    <row r="33" ht="18" customHeight="1">
      <c r="A33" s="7" t="n"/>
      <c r="B33" s="8" t="n"/>
      <c r="C33" s="9" t="n"/>
      <c r="D33" s="9" t="n"/>
      <c r="E33" s="9" t="n"/>
      <c r="F33" s="9" t="n"/>
      <c r="G33" s="7" t="n"/>
      <c r="H33" s="9" t="n"/>
    </row>
    <row r="34" ht="18" customHeight="1">
      <c r="A34" s="7" t="n"/>
      <c r="B34" s="8" t="n"/>
      <c r="C34" s="9" t="n"/>
      <c r="D34" s="9" t="n"/>
      <c r="E34" s="9" t="n"/>
      <c r="F34" s="9" t="n"/>
      <c r="G34" s="7" t="n"/>
      <c r="H34" s="9" t="n"/>
    </row>
    <row r="35" ht="18" customHeight="1">
      <c r="A35" s="7" t="n"/>
      <c r="B35" s="8" t="n"/>
      <c r="C35" s="9" t="n"/>
      <c r="D35" s="9" t="n"/>
      <c r="E35" s="9" t="n"/>
      <c r="F35" s="9" t="n"/>
      <c r="G35" s="7" t="n"/>
      <c r="H35" s="9" t="n"/>
    </row>
    <row r="36" ht="18" customHeight="1">
      <c r="A36" s="7" t="n"/>
      <c r="B36" s="8" t="n"/>
      <c r="C36" s="9" t="n"/>
      <c r="D36" s="9" t="n"/>
      <c r="E36" s="9" t="n"/>
      <c r="F36" s="9" t="n"/>
      <c r="G36" s="7" t="n"/>
      <c r="H36" s="9" t="n"/>
    </row>
    <row r="37" ht="18" customHeight="1">
      <c r="A37" s="7" t="n"/>
      <c r="B37" s="8" t="n"/>
      <c r="C37" s="9" t="n"/>
      <c r="D37" s="9" t="n"/>
      <c r="E37" s="9" t="n"/>
      <c r="F37" s="9" t="n"/>
      <c r="G37" s="7" t="n"/>
      <c r="H37" s="9" t="n"/>
    </row>
    <row r="38" ht="18" customHeight="1">
      <c r="A38" s="7" t="n"/>
      <c r="B38" s="8" t="n"/>
      <c r="C38" s="9" t="n"/>
      <c r="D38" s="9" t="n"/>
      <c r="E38" s="9" t="n"/>
      <c r="F38" s="9" t="n"/>
      <c r="G38" s="7" t="n"/>
      <c r="H38" s="9" t="n"/>
    </row>
    <row r="39" ht="18" customHeight="1">
      <c r="A39" s="7" t="n"/>
      <c r="B39" s="8" t="n"/>
      <c r="C39" s="9" t="n"/>
      <c r="D39" s="9" t="n"/>
      <c r="E39" s="9" t="n"/>
      <c r="F39" s="9" t="n"/>
      <c r="G39" s="7" t="n"/>
      <c r="H39" s="9" t="n"/>
    </row>
    <row r="40" ht="18" customHeight="1">
      <c r="A40" s="7" t="n"/>
      <c r="B40" s="8" t="n"/>
      <c r="C40" s="9" t="n"/>
      <c r="D40" s="9" t="n"/>
      <c r="E40" s="9" t="n"/>
      <c r="F40" s="9" t="n"/>
      <c r="G40" s="7" t="n"/>
      <c r="H40" s="9" t="n"/>
    </row>
    <row r="41" ht="18" customHeight="1">
      <c r="A41" s="7" t="n"/>
      <c r="B41" s="8" t="n"/>
      <c r="C41" s="9" t="n"/>
      <c r="D41" s="9" t="n"/>
      <c r="E41" s="9" t="n"/>
      <c r="F41" s="9" t="n"/>
      <c r="G41" s="7" t="n"/>
      <c r="H41" s="9" t="n"/>
    </row>
    <row r="42" ht="18" customHeight="1">
      <c r="A42" s="7" t="n"/>
      <c r="B42" s="8" t="n"/>
      <c r="C42" s="9" t="n"/>
      <c r="D42" s="9" t="n"/>
      <c r="E42" s="9" t="n"/>
      <c r="F42" s="9" t="n"/>
      <c r="G42" s="7" t="n"/>
      <c r="H42" s="9" t="n"/>
    </row>
    <row r="43" ht="18" customHeight="1">
      <c r="A43" s="7" t="n"/>
      <c r="B43" s="8" t="n"/>
      <c r="C43" s="9" t="n"/>
      <c r="D43" s="9" t="n"/>
      <c r="E43" s="9" t="n"/>
      <c r="F43" s="9" t="n"/>
      <c r="G43" s="7" t="n"/>
      <c r="H43" s="9" t="n"/>
    </row>
    <row r="44" ht="18" customHeight="1">
      <c r="A44" s="7" t="n"/>
      <c r="B44" s="8" t="n"/>
      <c r="C44" s="9" t="n"/>
      <c r="D44" s="9" t="n"/>
      <c r="E44" s="9" t="n"/>
      <c r="F44" s="9" t="n"/>
      <c r="G44" s="7" t="n"/>
      <c r="H44" s="9" t="n"/>
    </row>
    <row r="45" ht="18" customHeight="1">
      <c r="A45" s="7" t="n"/>
      <c r="B45" s="8" t="n"/>
      <c r="C45" s="9" t="n"/>
      <c r="D45" s="9" t="n"/>
      <c r="E45" s="9" t="n"/>
      <c r="F45" s="9" t="n"/>
      <c r="G45" s="7" t="n"/>
      <c r="H45" s="9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6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9" customWidth="1" min="17" max="17"/>
    <col width="13" customWidth="1" min="18" max="18"/>
  </cols>
  <sheetData>
    <row r="1" ht="14" customHeight="1">
      <c r="A1" s="10">
        <f>Bilgiler!B4&amp;" • "&amp;Bilgiler!B5&amp;" EĞİTİM ÖĞRETİM YILI"</f>
        <v/>
      </c>
    </row>
    <row r="2" ht="14" customHeight="1">
      <c r="A2" s="10">
        <f>Bilgiler!B6&amp;" SINIFI "&amp;Bilgiler!B7&amp;" "&amp;Bilgiler!B8&amp;" DERSİ KAZANIM DEĞERLENDİRME ÖLÇEĞİ"</f>
        <v/>
      </c>
    </row>
    <row r="4" ht="140" customHeight="1">
      <c r="A4" s="11" t="inlineStr">
        <is>
          <t>NO</t>
        </is>
      </c>
      <c r="B4" s="11" t="inlineStr">
        <is>
          <t>ADI VE SOYADI</t>
        </is>
      </c>
      <c r="C4" s="12" t="inlineStr">
        <is>
          <t>Konuşurken ve şarkı söylerken sesini doğru kullanır</t>
        </is>
      </c>
      <c r="D4" s="12" t="inlineStr">
        <is>
          <t>Birlikte söyleme kurallarına uyar</t>
        </is>
      </c>
      <c r="E4" s="12" t="inlineStr">
        <is>
          <t>Belirli gün ve haftalarla ilgili müzikleri söyler</t>
        </is>
      </c>
      <c r="F4" s="12" t="inlineStr">
        <is>
          <t>İstiklâl Marşı'nı saygıyla söyler</t>
        </is>
      </c>
      <c r="G4" s="12" t="inlineStr">
        <is>
          <t>Oluşturduğu ritim çalgısıyla müziğe eşlik eder</t>
        </is>
      </c>
      <c r="H4" s="12" t="inlineStr">
        <is>
          <t>Kendi kültüründen oyunlar oynayarak şarkı söyler</t>
        </is>
      </c>
      <c r="I4" s="12" t="inlineStr">
        <is>
          <t>Müzik çalışmalarını sergiler</t>
        </is>
      </c>
      <c r="J4" s="12" t="inlineStr">
        <is>
          <t>Müzikteki uzun ve kısa ses sürelerini fark eder</t>
        </is>
      </c>
      <c r="K4" s="12" t="inlineStr">
        <is>
          <t>Müzikteki ses yüksekliklerini grafikle gösterir</t>
        </is>
      </c>
      <c r="L4" s="12" t="inlineStr">
        <is>
          <t>Duyduğu basit ritim ve ezgiyi tekrarlar</t>
        </is>
      </c>
      <c r="M4" s="12" t="inlineStr">
        <is>
          <t>Müzikleri uygun hız ve gürlükte seslendirir</t>
        </is>
      </c>
      <c r="N4" s="12" t="inlineStr">
        <is>
          <t>Müziklerdeki aynı ve farklı söz kümelerini harekete dönüştürür</t>
        </is>
      </c>
      <c r="O4" s="12" t="inlineStr">
        <is>
          <t>Notalar ile renkleri eşleştirir</t>
        </is>
      </c>
      <c r="P4" s="12" t="inlineStr">
        <is>
          <t>Seslerin yükseklik ve süre farklılıklarını ayırt eder</t>
        </is>
      </c>
      <c r="Q4" s="11" t="inlineStr">
        <is>
          <t>ORTALAMA</t>
        </is>
      </c>
      <c r="R4" s="11" t="inlineStr">
        <is>
          <t>SEVİYE</t>
        </is>
      </c>
    </row>
    <row r="5" ht="9" customHeight="1">
      <c r="A5" s="13">
        <f>IFERROR(IF('Öğrenci Listesi'!A6="","",'Öğrenci Listesi'!A6),"")</f>
        <v/>
      </c>
      <c r="B5" s="14">
        <f>IFERROR(IF('Öğrenci Listesi'!B6="","",'Öğrenci Listesi'!B6),"")</f>
        <v/>
      </c>
      <c r="C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D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E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F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G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H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I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J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K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L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M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N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O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P5" s="13">
        <f>IF(OR('Öğrenci Listesi'!B6="",R5=""),"",IF(R5="Çok İyi",CHOOSE(RANDBETWEEN(1,5),4,4,4,4,3),IF(R5="İyi",CHOOSE(RANDBETWEEN(1,5),3,3,3,4,2),IF(R5="Yeterli",CHOOSE(RANDBETWEEN(1,5),2,2,2,3,1),IF(R5="Geliştirilmeli",CHOOSE(RANDBETWEEN(1,5),1,1,1,1,2),"")))))</f>
        <v/>
      </c>
      <c r="Q5" s="15">
        <f>IF(OR('Öğrenci Listesi'!B6="",R5=""),"",ROUND(AVERAGE(C5:P5),2))</f>
        <v/>
      </c>
      <c r="R5" s="16">
        <f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ht="9" customHeight="1">
      <c r="A6" s="13">
        <f>IFERROR(IF('Öğrenci Listesi'!A7="","",'Öğrenci Listesi'!A7),"")</f>
        <v/>
      </c>
      <c r="B6" s="14">
        <f>IFERROR(IF('Öğrenci Listesi'!B7="","",'Öğrenci Listesi'!B7),"")</f>
        <v/>
      </c>
      <c r="C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D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E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F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G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H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I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J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K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L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M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N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O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P6" s="13">
        <f>IF(OR('Öğrenci Listesi'!B7="",R6=""),"",IF(R6="Çok İyi",CHOOSE(RANDBETWEEN(1,5),4,4,4,4,3),IF(R6="İyi",CHOOSE(RANDBETWEEN(1,5),3,3,3,4,2),IF(R6="Yeterli",CHOOSE(RANDBETWEEN(1,5),2,2,2,3,1),IF(R6="Geliştirilmeli",CHOOSE(RANDBETWEEN(1,5),1,1,1,1,2),"")))))</f>
        <v/>
      </c>
      <c r="Q6" s="15">
        <f>IF(OR('Öğrenci Listesi'!B7="",R6=""),"",ROUND(AVERAGE(C6:P6),2))</f>
        <v/>
      </c>
      <c r="R6" s="16">
        <f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ht="9" customHeight="1">
      <c r="A7" s="13">
        <f>IFERROR(IF('Öğrenci Listesi'!A8="","",'Öğrenci Listesi'!A8),"")</f>
        <v/>
      </c>
      <c r="B7" s="14">
        <f>IFERROR(IF('Öğrenci Listesi'!B8="","",'Öğrenci Listesi'!B8),"")</f>
        <v/>
      </c>
      <c r="C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D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E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F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G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H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I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J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K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L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M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N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O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P7" s="13">
        <f>IF(OR('Öğrenci Listesi'!B8="",R7=""),"",IF(R7="Çok İyi",CHOOSE(RANDBETWEEN(1,5),4,4,4,4,3),IF(R7="İyi",CHOOSE(RANDBETWEEN(1,5),3,3,3,4,2),IF(R7="Yeterli",CHOOSE(RANDBETWEEN(1,5),2,2,2,3,1),IF(R7="Geliştirilmeli",CHOOSE(RANDBETWEEN(1,5),1,1,1,1,2),"")))))</f>
        <v/>
      </c>
      <c r="Q7" s="15">
        <f>IF(OR('Öğrenci Listesi'!B8="",R7=""),"",ROUND(AVERAGE(C7:P7),2))</f>
        <v/>
      </c>
      <c r="R7" s="16">
        <f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ht="9" customHeight="1">
      <c r="A8" s="13">
        <f>IFERROR(IF('Öğrenci Listesi'!A9="","",'Öğrenci Listesi'!A9),"")</f>
        <v/>
      </c>
      <c r="B8" s="14">
        <f>IFERROR(IF('Öğrenci Listesi'!B9="","",'Öğrenci Listesi'!B9),"")</f>
        <v/>
      </c>
      <c r="C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D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E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F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G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H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I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J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K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L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M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N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O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P8" s="13">
        <f>IF(OR('Öğrenci Listesi'!B9="",R8=""),"",IF(R8="Çok İyi",CHOOSE(RANDBETWEEN(1,5),4,4,4,4,3),IF(R8="İyi",CHOOSE(RANDBETWEEN(1,5),3,3,3,4,2),IF(R8="Yeterli",CHOOSE(RANDBETWEEN(1,5),2,2,2,3,1),IF(R8="Geliştirilmeli",CHOOSE(RANDBETWEEN(1,5),1,1,1,1,2),"")))))</f>
        <v/>
      </c>
      <c r="Q8" s="15">
        <f>IF(OR('Öğrenci Listesi'!B9="",R8=""),"",ROUND(AVERAGE(C8:P8),2))</f>
        <v/>
      </c>
      <c r="R8" s="16">
        <f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ht="9" customHeight="1">
      <c r="A9" s="13">
        <f>IFERROR(IF('Öğrenci Listesi'!A10="","",'Öğrenci Listesi'!A10),"")</f>
        <v/>
      </c>
      <c r="B9" s="14">
        <f>IFERROR(IF('Öğrenci Listesi'!B10="","",'Öğrenci Listesi'!B10),"")</f>
        <v/>
      </c>
      <c r="C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D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E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F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G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H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I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J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K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L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M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N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O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P9" s="13">
        <f>IF(OR('Öğrenci Listesi'!B10="",R9=""),"",IF(R9="Çok İyi",CHOOSE(RANDBETWEEN(1,5),4,4,4,4,3),IF(R9="İyi",CHOOSE(RANDBETWEEN(1,5),3,3,3,4,2),IF(R9="Yeterli",CHOOSE(RANDBETWEEN(1,5),2,2,2,3,1),IF(R9="Geliştirilmeli",CHOOSE(RANDBETWEEN(1,5),1,1,1,1,2),"")))))</f>
        <v/>
      </c>
      <c r="Q9" s="15">
        <f>IF(OR('Öğrenci Listesi'!B10="",R9=""),"",ROUND(AVERAGE(C9:P9),2))</f>
        <v/>
      </c>
      <c r="R9" s="16">
        <f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ht="9" customHeight="1">
      <c r="A10" s="13">
        <f>IFERROR(IF('Öğrenci Listesi'!A11="","",'Öğrenci Listesi'!A11),"")</f>
        <v/>
      </c>
      <c r="B10" s="14">
        <f>IFERROR(IF('Öğrenci Listesi'!B11="","",'Öğrenci Listesi'!B11),"")</f>
        <v/>
      </c>
      <c r="C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D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E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F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G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H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I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J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K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L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M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N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O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P10" s="13">
        <f>IF(OR('Öğrenci Listesi'!B11="",R10=""),"",IF(R10="Çok İyi",CHOOSE(RANDBETWEEN(1,5),4,4,4,4,3),IF(R10="İyi",CHOOSE(RANDBETWEEN(1,5),3,3,3,4,2),IF(R10="Yeterli",CHOOSE(RANDBETWEEN(1,5),2,2,2,3,1),IF(R10="Geliştirilmeli",CHOOSE(RANDBETWEEN(1,5),1,1,1,1,2),"")))))</f>
        <v/>
      </c>
      <c r="Q10" s="15">
        <f>IF(OR('Öğrenci Listesi'!B11="",R10=""),"",ROUND(AVERAGE(C10:P10),2))</f>
        <v/>
      </c>
      <c r="R10" s="16">
        <f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ht="9" customHeight="1">
      <c r="A11" s="13">
        <f>IFERROR(IF('Öğrenci Listesi'!A12="","",'Öğrenci Listesi'!A12),"")</f>
        <v/>
      </c>
      <c r="B11" s="14">
        <f>IFERROR(IF('Öğrenci Listesi'!B12="","",'Öğrenci Listesi'!B12),"")</f>
        <v/>
      </c>
      <c r="C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D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E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F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G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H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I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J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K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L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M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N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O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P11" s="13">
        <f>IF(OR('Öğrenci Listesi'!B12="",R11=""),"",IF(R11="Çok İyi",CHOOSE(RANDBETWEEN(1,5),4,4,4,4,3),IF(R11="İyi",CHOOSE(RANDBETWEEN(1,5),3,3,3,4,2),IF(R11="Yeterli",CHOOSE(RANDBETWEEN(1,5),2,2,2,3,1),IF(R11="Geliştirilmeli",CHOOSE(RANDBETWEEN(1,5),1,1,1,1,2),"")))))</f>
        <v/>
      </c>
      <c r="Q11" s="15">
        <f>IF(OR('Öğrenci Listesi'!B12="",R11=""),"",ROUND(AVERAGE(C11:P11),2))</f>
        <v/>
      </c>
      <c r="R11" s="16">
        <f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ht="9" customHeight="1">
      <c r="A12" s="13">
        <f>IFERROR(IF('Öğrenci Listesi'!A13="","",'Öğrenci Listesi'!A13),"")</f>
        <v/>
      </c>
      <c r="B12" s="14">
        <f>IFERROR(IF('Öğrenci Listesi'!B13="","",'Öğrenci Listesi'!B13),"")</f>
        <v/>
      </c>
      <c r="C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D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E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F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G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H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I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J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K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L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M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N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O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P12" s="13">
        <f>IF(OR('Öğrenci Listesi'!B13="",R12=""),"",IF(R12="Çok İyi",CHOOSE(RANDBETWEEN(1,5),4,4,4,4,3),IF(R12="İyi",CHOOSE(RANDBETWEEN(1,5),3,3,3,4,2),IF(R12="Yeterli",CHOOSE(RANDBETWEEN(1,5),2,2,2,3,1),IF(R12="Geliştirilmeli",CHOOSE(RANDBETWEEN(1,5),1,1,1,1,2),"")))))</f>
        <v/>
      </c>
      <c r="Q12" s="15">
        <f>IF(OR('Öğrenci Listesi'!B13="",R12=""),"",ROUND(AVERAGE(C12:P12),2))</f>
        <v/>
      </c>
      <c r="R12" s="16">
        <f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ht="9" customHeight="1">
      <c r="A13" s="13">
        <f>IFERROR(IF('Öğrenci Listesi'!A14="","",'Öğrenci Listesi'!A14),"")</f>
        <v/>
      </c>
      <c r="B13" s="14">
        <f>IFERROR(IF('Öğrenci Listesi'!B14="","",'Öğrenci Listesi'!B14),"")</f>
        <v/>
      </c>
      <c r="C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D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E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F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G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H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I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J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K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L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M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N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O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P13" s="13">
        <f>IF(OR('Öğrenci Listesi'!B14="",R13=""),"",IF(R13="Çok İyi",CHOOSE(RANDBETWEEN(1,5),4,4,4,4,3),IF(R13="İyi",CHOOSE(RANDBETWEEN(1,5),3,3,3,4,2),IF(R13="Yeterli",CHOOSE(RANDBETWEEN(1,5),2,2,2,3,1),IF(R13="Geliştirilmeli",CHOOSE(RANDBETWEEN(1,5),1,1,1,1,2),"")))))</f>
        <v/>
      </c>
      <c r="Q13" s="15">
        <f>IF(OR('Öğrenci Listesi'!B14="",R13=""),"",ROUND(AVERAGE(C13:P13),2))</f>
        <v/>
      </c>
      <c r="R13" s="16">
        <f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ht="9" customHeight="1">
      <c r="A14" s="13">
        <f>IFERROR(IF('Öğrenci Listesi'!A15="","",'Öğrenci Listesi'!A15),"")</f>
        <v/>
      </c>
      <c r="B14" s="14">
        <f>IFERROR(IF('Öğrenci Listesi'!B15="","",'Öğrenci Listesi'!B15),"")</f>
        <v/>
      </c>
      <c r="C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D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E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F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G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H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I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J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K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L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M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N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O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P14" s="13">
        <f>IF(OR('Öğrenci Listesi'!B15="",R14=""),"",IF(R14="Çok İyi",CHOOSE(RANDBETWEEN(1,5),4,4,4,4,3),IF(R14="İyi",CHOOSE(RANDBETWEEN(1,5),3,3,3,4,2),IF(R14="Yeterli",CHOOSE(RANDBETWEEN(1,5),2,2,2,3,1),IF(R14="Geliştirilmeli",CHOOSE(RANDBETWEEN(1,5),1,1,1,1,2),"")))))</f>
        <v/>
      </c>
      <c r="Q14" s="15">
        <f>IF(OR('Öğrenci Listesi'!B15="",R14=""),"",ROUND(AVERAGE(C14:P14),2))</f>
        <v/>
      </c>
      <c r="R14" s="16">
        <f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ht="9" customHeight="1">
      <c r="A15" s="13">
        <f>IFERROR(IF('Öğrenci Listesi'!A16="","",'Öğrenci Listesi'!A16),"")</f>
        <v/>
      </c>
      <c r="B15" s="14">
        <f>IFERROR(IF('Öğrenci Listesi'!B16="","",'Öğrenci Listesi'!B16),"")</f>
        <v/>
      </c>
      <c r="C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D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E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F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G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H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I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J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K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L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M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N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O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P15" s="13">
        <f>IF(OR('Öğrenci Listesi'!B16="",R15=""),"",IF(R15="Çok İyi",CHOOSE(RANDBETWEEN(1,5),4,4,4,4,3),IF(R15="İyi",CHOOSE(RANDBETWEEN(1,5),3,3,3,4,2),IF(R15="Yeterli",CHOOSE(RANDBETWEEN(1,5),2,2,2,3,1),IF(R15="Geliştirilmeli",CHOOSE(RANDBETWEEN(1,5),1,1,1,1,2),"")))))</f>
        <v/>
      </c>
      <c r="Q15" s="15">
        <f>IF(OR('Öğrenci Listesi'!B16="",R15=""),"",ROUND(AVERAGE(C15:P15),2))</f>
        <v/>
      </c>
      <c r="R15" s="16">
        <f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ht="9" customHeight="1">
      <c r="A16" s="13">
        <f>IFERROR(IF('Öğrenci Listesi'!A17="","",'Öğrenci Listesi'!A17),"")</f>
        <v/>
      </c>
      <c r="B16" s="14">
        <f>IFERROR(IF('Öğrenci Listesi'!B17="","",'Öğrenci Listesi'!B17),"")</f>
        <v/>
      </c>
      <c r="C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D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E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F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G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H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I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J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K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L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M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N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O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P16" s="13">
        <f>IF(OR('Öğrenci Listesi'!B17="",R16=""),"",IF(R16="Çok İyi",CHOOSE(RANDBETWEEN(1,5),4,4,4,4,3),IF(R16="İyi",CHOOSE(RANDBETWEEN(1,5),3,3,3,4,2),IF(R16="Yeterli",CHOOSE(RANDBETWEEN(1,5),2,2,2,3,1),IF(R16="Geliştirilmeli",CHOOSE(RANDBETWEEN(1,5),1,1,1,1,2),"")))))</f>
        <v/>
      </c>
      <c r="Q16" s="15">
        <f>IF(OR('Öğrenci Listesi'!B17="",R16=""),"",ROUND(AVERAGE(C16:P16),2))</f>
        <v/>
      </c>
      <c r="R16" s="16">
        <f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ht="9" customHeight="1">
      <c r="A17" s="13">
        <f>IFERROR(IF('Öğrenci Listesi'!A18="","",'Öğrenci Listesi'!A18),"")</f>
        <v/>
      </c>
      <c r="B17" s="14">
        <f>IFERROR(IF('Öğrenci Listesi'!B18="","",'Öğrenci Listesi'!B18),"")</f>
        <v/>
      </c>
      <c r="C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D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E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F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G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H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I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J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K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L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M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N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O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P17" s="13">
        <f>IF(OR('Öğrenci Listesi'!B18="",R17=""),"",IF(R17="Çok İyi",CHOOSE(RANDBETWEEN(1,5),4,4,4,4,3),IF(R17="İyi",CHOOSE(RANDBETWEEN(1,5),3,3,3,4,2),IF(R17="Yeterli",CHOOSE(RANDBETWEEN(1,5),2,2,2,3,1),IF(R17="Geliştirilmeli",CHOOSE(RANDBETWEEN(1,5),1,1,1,1,2),"")))))</f>
        <v/>
      </c>
      <c r="Q17" s="15">
        <f>IF(OR('Öğrenci Listesi'!B18="",R17=""),"",ROUND(AVERAGE(C17:P17),2))</f>
        <v/>
      </c>
      <c r="R17" s="16">
        <f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ht="9" customHeight="1">
      <c r="A18" s="13">
        <f>IFERROR(IF('Öğrenci Listesi'!A19="","",'Öğrenci Listesi'!A19),"")</f>
        <v/>
      </c>
      <c r="B18" s="14">
        <f>IFERROR(IF('Öğrenci Listesi'!B19="","",'Öğrenci Listesi'!B19),"")</f>
        <v/>
      </c>
      <c r="C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D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E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F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G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H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I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J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K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L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M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N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O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P18" s="13">
        <f>IF(OR('Öğrenci Listesi'!B19="",R18=""),"",IF(R18="Çok İyi",CHOOSE(RANDBETWEEN(1,5),4,4,4,4,3),IF(R18="İyi",CHOOSE(RANDBETWEEN(1,5),3,3,3,4,2),IF(R18="Yeterli",CHOOSE(RANDBETWEEN(1,5),2,2,2,3,1),IF(R18="Geliştirilmeli",CHOOSE(RANDBETWEEN(1,5),1,1,1,1,2),"")))))</f>
        <v/>
      </c>
      <c r="Q18" s="15">
        <f>IF(OR('Öğrenci Listesi'!B19="",R18=""),"",ROUND(AVERAGE(C18:P18),2))</f>
        <v/>
      </c>
      <c r="R18" s="16">
        <f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ht="9" customHeight="1">
      <c r="A19" s="13">
        <f>IFERROR(IF('Öğrenci Listesi'!A20="","",'Öğrenci Listesi'!A20),"")</f>
        <v/>
      </c>
      <c r="B19" s="14">
        <f>IFERROR(IF('Öğrenci Listesi'!B20="","",'Öğrenci Listesi'!B20),"")</f>
        <v/>
      </c>
      <c r="C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D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E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F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G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H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I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J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K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L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M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N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O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P19" s="13">
        <f>IF(OR('Öğrenci Listesi'!B20="",R19=""),"",IF(R19="Çok İyi",CHOOSE(RANDBETWEEN(1,5),4,4,4,4,3),IF(R19="İyi",CHOOSE(RANDBETWEEN(1,5),3,3,3,4,2),IF(R19="Yeterli",CHOOSE(RANDBETWEEN(1,5),2,2,2,3,1),IF(R19="Geliştirilmeli",CHOOSE(RANDBETWEEN(1,5),1,1,1,1,2),"")))))</f>
        <v/>
      </c>
      <c r="Q19" s="15">
        <f>IF(OR('Öğrenci Listesi'!B20="",R19=""),"",ROUND(AVERAGE(C19:P19),2))</f>
        <v/>
      </c>
      <c r="R19" s="16">
        <f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ht="9" customHeight="1">
      <c r="A20" s="13">
        <f>IFERROR(IF('Öğrenci Listesi'!A21="","",'Öğrenci Listesi'!A21),"")</f>
        <v/>
      </c>
      <c r="B20" s="14">
        <f>IFERROR(IF('Öğrenci Listesi'!B21="","",'Öğrenci Listesi'!B21),"")</f>
        <v/>
      </c>
      <c r="C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D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E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F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G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H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I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J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K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L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M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N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O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P20" s="13">
        <f>IF(OR('Öğrenci Listesi'!B21="",R20=""),"",IF(R20="Çok İyi",CHOOSE(RANDBETWEEN(1,5),4,4,4,4,3),IF(R20="İyi",CHOOSE(RANDBETWEEN(1,5),3,3,3,4,2),IF(R20="Yeterli",CHOOSE(RANDBETWEEN(1,5),2,2,2,3,1),IF(R20="Geliştirilmeli",CHOOSE(RANDBETWEEN(1,5),1,1,1,1,2),"")))))</f>
        <v/>
      </c>
      <c r="Q20" s="15">
        <f>IF(OR('Öğrenci Listesi'!B21="",R20=""),"",ROUND(AVERAGE(C20:P20),2))</f>
        <v/>
      </c>
      <c r="R20" s="16">
        <f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ht="9" customHeight="1">
      <c r="A21" s="13">
        <f>IFERROR(IF('Öğrenci Listesi'!A22="","",'Öğrenci Listesi'!A22),"")</f>
        <v/>
      </c>
      <c r="B21" s="14">
        <f>IFERROR(IF('Öğrenci Listesi'!B22="","",'Öğrenci Listesi'!B22),"")</f>
        <v/>
      </c>
      <c r="C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D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E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F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G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H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I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J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K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L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M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N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O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P21" s="13">
        <f>IF(OR('Öğrenci Listesi'!B22="",R21=""),"",IF(R21="Çok İyi",CHOOSE(RANDBETWEEN(1,5),4,4,4,4,3),IF(R21="İyi",CHOOSE(RANDBETWEEN(1,5),3,3,3,4,2),IF(R21="Yeterli",CHOOSE(RANDBETWEEN(1,5),2,2,2,3,1),IF(R21="Geliştirilmeli",CHOOSE(RANDBETWEEN(1,5),1,1,1,1,2),"")))))</f>
        <v/>
      </c>
      <c r="Q21" s="15">
        <f>IF(OR('Öğrenci Listesi'!B22="",R21=""),"",ROUND(AVERAGE(C21:P21),2))</f>
        <v/>
      </c>
      <c r="R21" s="16">
        <f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ht="9" customHeight="1">
      <c r="A22" s="13">
        <f>IFERROR(IF('Öğrenci Listesi'!A23="","",'Öğrenci Listesi'!A23),"")</f>
        <v/>
      </c>
      <c r="B22" s="14">
        <f>IFERROR(IF('Öğrenci Listesi'!B23="","",'Öğrenci Listesi'!B23),"")</f>
        <v/>
      </c>
      <c r="C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D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E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F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G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H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I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J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K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L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M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N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O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P22" s="13">
        <f>IF(OR('Öğrenci Listesi'!B23="",R22=""),"",IF(R22="Çok İyi",CHOOSE(RANDBETWEEN(1,5),4,4,4,4,3),IF(R22="İyi",CHOOSE(RANDBETWEEN(1,5),3,3,3,4,2),IF(R22="Yeterli",CHOOSE(RANDBETWEEN(1,5),2,2,2,3,1),IF(R22="Geliştirilmeli",CHOOSE(RANDBETWEEN(1,5),1,1,1,1,2),"")))))</f>
        <v/>
      </c>
      <c r="Q22" s="15">
        <f>IF(OR('Öğrenci Listesi'!B23="",R22=""),"",ROUND(AVERAGE(C22:P22),2))</f>
        <v/>
      </c>
      <c r="R22" s="16">
        <f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ht="9" customHeight="1">
      <c r="A23" s="13">
        <f>IFERROR(IF('Öğrenci Listesi'!A24="","",'Öğrenci Listesi'!A24),"")</f>
        <v/>
      </c>
      <c r="B23" s="14">
        <f>IFERROR(IF('Öğrenci Listesi'!B24="","",'Öğrenci Listesi'!B24),"")</f>
        <v/>
      </c>
      <c r="C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D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E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F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G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H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I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J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K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L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M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N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O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P23" s="13">
        <f>IF(OR('Öğrenci Listesi'!B24="",R23=""),"",IF(R23="Çok İyi",CHOOSE(RANDBETWEEN(1,5),4,4,4,4,3),IF(R23="İyi",CHOOSE(RANDBETWEEN(1,5),3,3,3,4,2),IF(R23="Yeterli",CHOOSE(RANDBETWEEN(1,5),2,2,2,3,1),IF(R23="Geliştirilmeli",CHOOSE(RANDBETWEEN(1,5),1,1,1,1,2),"")))))</f>
        <v/>
      </c>
      <c r="Q23" s="15">
        <f>IF(OR('Öğrenci Listesi'!B24="",R23=""),"",ROUND(AVERAGE(C23:P23),2))</f>
        <v/>
      </c>
      <c r="R23" s="16">
        <f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ht="9" customHeight="1">
      <c r="A24" s="13">
        <f>IFERROR(IF('Öğrenci Listesi'!A25="","",'Öğrenci Listesi'!A25),"")</f>
        <v/>
      </c>
      <c r="B24" s="14">
        <f>IFERROR(IF('Öğrenci Listesi'!B25="","",'Öğrenci Listesi'!B25),"")</f>
        <v/>
      </c>
      <c r="C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D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E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F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G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H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I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J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K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L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M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N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O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P24" s="13">
        <f>IF(OR('Öğrenci Listesi'!B25="",R24=""),"",IF(R24="Çok İyi",CHOOSE(RANDBETWEEN(1,5),4,4,4,4,3),IF(R24="İyi",CHOOSE(RANDBETWEEN(1,5),3,3,3,4,2),IF(R24="Yeterli",CHOOSE(RANDBETWEEN(1,5),2,2,2,3,1),IF(R24="Geliştirilmeli",CHOOSE(RANDBETWEEN(1,5),1,1,1,1,2),"")))))</f>
        <v/>
      </c>
      <c r="Q24" s="15">
        <f>IF(OR('Öğrenci Listesi'!B25="",R24=""),"",ROUND(AVERAGE(C24:P24),2))</f>
        <v/>
      </c>
      <c r="R24" s="16">
        <f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ht="9" customHeight="1">
      <c r="A25" s="13">
        <f>IFERROR(IF('Öğrenci Listesi'!A26="","",'Öğrenci Listesi'!A26),"")</f>
        <v/>
      </c>
      <c r="B25" s="14">
        <f>IFERROR(IF('Öğrenci Listesi'!B26="","",'Öğrenci Listesi'!B26),"")</f>
        <v/>
      </c>
      <c r="C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D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E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F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G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H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I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J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K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L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M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N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O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P25" s="13">
        <f>IF(OR('Öğrenci Listesi'!B26="",R25=""),"",IF(R25="Çok İyi",CHOOSE(RANDBETWEEN(1,5),4,4,4,4,3),IF(R25="İyi",CHOOSE(RANDBETWEEN(1,5),3,3,3,4,2),IF(R25="Yeterli",CHOOSE(RANDBETWEEN(1,5),2,2,2,3,1),IF(R25="Geliştirilmeli",CHOOSE(RANDBETWEEN(1,5),1,1,1,1,2),"")))))</f>
        <v/>
      </c>
      <c r="Q25" s="15">
        <f>IF(OR('Öğrenci Listesi'!B26="",R25=""),"",ROUND(AVERAGE(C25:P25),2))</f>
        <v/>
      </c>
      <c r="R25" s="16">
        <f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ht="9" customHeight="1">
      <c r="A26" s="13">
        <f>IFERROR(IF('Öğrenci Listesi'!A27="","",'Öğrenci Listesi'!A27),"")</f>
        <v/>
      </c>
      <c r="B26" s="14">
        <f>IFERROR(IF('Öğrenci Listesi'!B27="","",'Öğrenci Listesi'!B27),"")</f>
        <v/>
      </c>
      <c r="C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D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E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F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G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H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I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J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K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L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M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N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O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P26" s="13">
        <f>IF(OR('Öğrenci Listesi'!B27="",R26=""),"",IF(R26="Çok İyi",CHOOSE(RANDBETWEEN(1,5),4,4,4,4,3),IF(R26="İyi",CHOOSE(RANDBETWEEN(1,5),3,3,3,4,2),IF(R26="Yeterli",CHOOSE(RANDBETWEEN(1,5),2,2,2,3,1),IF(R26="Geliştirilmeli",CHOOSE(RANDBETWEEN(1,5),1,1,1,1,2),"")))))</f>
        <v/>
      </c>
      <c r="Q26" s="15">
        <f>IF(OR('Öğrenci Listesi'!B27="",R26=""),"",ROUND(AVERAGE(C26:P26),2))</f>
        <v/>
      </c>
      <c r="R26" s="16">
        <f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ht="9" customHeight="1">
      <c r="A27" s="13">
        <f>IFERROR(IF('Öğrenci Listesi'!A28="","",'Öğrenci Listesi'!A28),"")</f>
        <v/>
      </c>
      <c r="B27" s="14">
        <f>IFERROR(IF('Öğrenci Listesi'!B28="","",'Öğrenci Listesi'!B28),"")</f>
        <v/>
      </c>
      <c r="C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D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E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F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G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H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I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J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K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L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M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N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O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P27" s="13">
        <f>IF(OR('Öğrenci Listesi'!B28="",R27=""),"",IF(R27="Çok İyi",CHOOSE(RANDBETWEEN(1,5),4,4,4,4,3),IF(R27="İyi",CHOOSE(RANDBETWEEN(1,5),3,3,3,4,2),IF(R27="Yeterli",CHOOSE(RANDBETWEEN(1,5),2,2,2,3,1),IF(R27="Geliştirilmeli",CHOOSE(RANDBETWEEN(1,5),1,1,1,1,2),"")))))</f>
        <v/>
      </c>
      <c r="Q27" s="15">
        <f>IF(OR('Öğrenci Listesi'!B28="",R27=""),"",ROUND(AVERAGE(C27:P27),2))</f>
        <v/>
      </c>
      <c r="R27" s="16">
        <f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ht="9" customHeight="1">
      <c r="A28" s="13">
        <f>IFERROR(IF('Öğrenci Listesi'!A29="","",'Öğrenci Listesi'!A29),"")</f>
        <v/>
      </c>
      <c r="B28" s="14">
        <f>IFERROR(IF('Öğrenci Listesi'!B29="","",'Öğrenci Listesi'!B29),"")</f>
        <v/>
      </c>
      <c r="C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D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E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F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G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H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I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J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K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L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M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N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O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P28" s="13">
        <f>IF(OR('Öğrenci Listesi'!B29="",R28=""),"",IF(R28="Çok İyi",CHOOSE(RANDBETWEEN(1,5),4,4,4,4,3),IF(R28="İyi",CHOOSE(RANDBETWEEN(1,5),3,3,3,4,2),IF(R28="Yeterli",CHOOSE(RANDBETWEEN(1,5),2,2,2,3,1),IF(R28="Geliştirilmeli",CHOOSE(RANDBETWEEN(1,5),1,1,1,1,2),"")))))</f>
        <v/>
      </c>
      <c r="Q28" s="15">
        <f>IF(OR('Öğrenci Listesi'!B29="",R28=""),"",ROUND(AVERAGE(C28:P28),2))</f>
        <v/>
      </c>
      <c r="R28" s="16">
        <f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ht="9" customHeight="1">
      <c r="A29" s="13">
        <f>IFERROR(IF('Öğrenci Listesi'!A30="","",'Öğrenci Listesi'!A30),"")</f>
        <v/>
      </c>
      <c r="B29" s="14">
        <f>IFERROR(IF('Öğrenci Listesi'!B30="","",'Öğrenci Listesi'!B30),"")</f>
        <v/>
      </c>
      <c r="C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D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E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F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G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H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I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J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K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L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M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N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O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P29" s="13">
        <f>IF(OR('Öğrenci Listesi'!B30="",R29=""),"",IF(R29="Çok İyi",CHOOSE(RANDBETWEEN(1,5),4,4,4,4,3),IF(R29="İyi",CHOOSE(RANDBETWEEN(1,5),3,3,3,4,2),IF(R29="Yeterli",CHOOSE(RANDBETWEEN(1,5),2,2,2,3,1),IF(R29="Geliştirilmeli",CHOOSE(RANDBETWEEN(1,5),1,1,1,1,2),"")))))</f>
        <v/>
      </c>
      <c r="Q29" s="15">
        <f>IF(OR('Öğrenci Listesi'!B30="",R29=""),"",ROUND(AVERAGE(C29:P29),2))</f>
        <v/>
      </c>
      <c r="R29" s="16">
        <f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ht="9" customHeight="1">
      <c r="A30" s="13">
        <f>IFERROR(IF('Öğrenci Listesi'!A31="","",'Öğrenci Listesi'!A31),"")</f>
        <v/>
      </c>
      <c r="B30" s="14">
        <f>IFERROR(IF('Öğrenci Listesi'!B31="","",'Öğrenci Listesi'!B31),"")</f>
        <v/>
      </c>
      <c r="C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D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E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F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G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H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I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J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K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L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M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N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O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P30" s="13">
        <f>IF(OR('Öğrenci Listesi'!B31="",R30=""),"",IF(R30="Çok İyi",CHOOSE(RANDBETWEEN(1,5),4,4,4,4,3),IF(R30="İyi",CHOOSE(RANDBETWEEN(1,5),3,3,3,4,2),IF(R30="Yeterli",CHOOSE(RANDBETWEEN(1,5),2,2,2,3,1),IF(R30="Geliştirilmeli",CHOOSE(RANDBETWEEN(1,5),1,1,1,1,2),"")))))</f>
        <v/>
      </c>
      <c r="Q30" s="15">
        <f>IF(OR('Öğrenci Listesi'!B31="",R30=""),"",ROUND(AVERAGE(C30:P30),2))</f>
        <v/>
      </c>
      <c r="R30" s="16">
        <f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ht="9" customHeight="1">
      <c r="A31" s="13">
        <f>IFERROR(IF('Öğrenci Listesi'!A32="","",'Öğrenci Listesi'!A32),"")</f>
        <v/>
      </c>
      <c r="B31" s="14">
        <f>IFERROR(IF('Öğrenci Listesi'!B32="","",'Öğrenci Listesi'!B32),"")</f>
        <v/>
      </c>
      <c r="C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D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E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F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G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H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I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J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K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L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M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N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O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P31" s="13">
        <f>IF(OR('Öğrenci Listesi'!B32="",R31=""),"",IF(R31="Çok İyi",CHOOSE(RANDBETWEEN(1,5),4,4,4,4,3),IF(R31="İyi",CHOOSE(RANDBETWEEN(1,5),3,3,3,4,2),IF(R31="Yeterli",CHOOSE(RANDBETWEEN(1,5),2,2,2,3,1),IF(R31="Geliştirilmeli",CHOOSE(RANDBETWEEN(1,5),1,1,1,1,2),"")))))</f>
        <v/>
      </c>
      <c r="Q31" s="15">
        <f>IF(OR('Öğrenci Listesi'!B32="",R31=""),"",ROUND(AVERAGE(C31:P31),2))</f>
        <v/>
      </c>
      <c r="R31" s="16">
        <f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ht="9" customHeight="1">
      <c r="A32" s="13">
        <f>IFERROR(IF('Öğrenci Listesi'!A33="","",'Öğrenci Listesi'!A33),"")</f>
        <v/>
      </c>
      <c r="B32" s="14">
        <f>IFERROR(IF('Öğrenci Listesi'!B33="","",'Öğrenci Listesi'!B33),"")</f>
        <v/>
      </c>
      <c r="C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D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E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F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G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H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I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J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K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L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M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N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O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P32" s="13">
        <f>IF(OR('Öğrenci Listesi'!B33="",R32=""),"",IF(R32="Çok İyi",CHOOSE(RANDBETWEEN(1,5),4,4,4,4,3),IF(R32="İyi",CHOOSE(RANDBETWEEN(1,5),3,3,3,4,2),IF(R32="Yeterli",CHOOSE(RANDBETWEEN(1,5),2,2,2,3,1),IF(R32="Geliştirilmeli",CHOOSE(RANDBETWEEN(1,5),1,1,1,1,2),"")))))</f>
        <v/>
      </c>
      <c r="Q32" s="15">
        <f>IF(OR('Öğrenci Listesi'!B33="",R32=""),"",ROUND(AVERAGE(C32:P32),2))</f>
        <v/>
      </c>
      <c r="R32" s="16">
        <f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ht="9" customHeight="1">
      <c r="A33" s="13">
        <f>IFERROR(IF('Öğrenci Listesi'!A34="","",'Öğrenci Listesi'!A34),"")</f>
        <v/>
      </c>
      <c r="B33" s="14">
        <f>IFERROR(IF('Öğrenci Listesi'!B34="","",'Öğrenci Listesi'!B34),"")</f>
        <v/>
      </c>
      <c r="C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D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E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F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G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H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I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J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K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L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M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N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O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P33" s="13">
        <f>IF(OR('Öğrenci Listesi'!B34="",R33=""),"",IF(R33="Çok İyi",CHOOSE(RANDBETWEEN(1,5),4,4,4,4,3),IF(R33="İyi",CHOOSE(RANDBETWEEN(1,5),3,3,3,4,2),IF(R33="Yeterli",CHOOSE(RANDBETWEEN(1,5),2,2,2,3,1),IF(R33="Geliştirilmeli",CHOOSE(RANDBETWEEN(1,5),1,1,1,1,2),"")))))</f>
        <v/>
      </c>
      <c r="Q33" s="15">
        <f>IF(OR('Öğrenci Listesi'!B34="",R33=""),"",ROUND(AVERAGE(C33:P33),2))</f>
        <v/>
      </c>
      <c r="R33" s="16">
        <f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ht="9" customHeight="1">
      <c r="A34" s="13">
        <f>IFERROR(IF('Öğrenci Listesi'!A35="","",'Öğrenci Listesi'!A35),"")</f>
        <v/>
      </c>
      <c r="B34" s="14">
        <f>IFERROR(IF('Öğrenci Listesi'!B35="","",'Öğrenci Listesi'!B35),"")</f>
        <v/>
      </c>
      <c r="C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D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E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F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G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H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I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J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K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L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M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N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O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P34" s="13">
        <f>IF(OR('Öğrenci Listesi'!B35="",R34=""),"",IF(R34="Çok İyi",CHOOSE(RANDBETWEEN(1,5),4,4,4,4,3),IF(R34="İyi",CHOOSE(RANDBETWEEN(1,5),3,3,3,4,2),IF(R34="Yeterli",CHOOSE(RANDBETWEEN(1,5),2,2,2,3,1),IF(R34="Geliştirilmeli",CHOOSE(RANDBETWEEN(1,5),1,1,1,1,2),"")))))</f>
        <v/>
      </c>
      <c r="Q34" s="15">
        <f>IF(OR('Öğrenci Listesi'!B35="",R34=""),"",ROUND(AVERAGE(C34:P34),2))</f>
        <v/>
      </c>
      <c r="R34" s="16">
        <f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ht="9" customHeight="1">
      <c r="A35" s="13">
        <f>IFERROR(IF('Öğrenci Listesi'!A36="","",'Öğrenci Listesi'!A36),"")</f>
        <v/>
      </c>
      <c r="B35" s="14">
        <f>IFERROR(IF('Öğrenci Listesi'!B36="","",'Öğrenci Listesi'!B36),"")</f>
        <v/>
      </c>
      <c r="C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D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E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F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G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H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I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J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K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L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M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N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O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P35" s="13">
        <f>IF(OR('Öğrenci Listesi'!B36="",R35=""),"",IF(R35="Çok İyi",CHOOSE(RANDBETWEEN(1,5),4,4,4,4,3),IF(R35="İyi",CHOOSE(RANDBETWEEN(1,5),3,3,3,4,2),IF(R35="Yeterli",CHOOSE(RANDBETWEEN(1,5),2,2,2,3,1),IF(R35="Geliştirilmeli",CHOOSE(RANDBETWEEN(1,5),1,1,1,1,2),"")))))</f>
        <v/>
      </c>
      <c r="Q35" s="15">
        <f>IF(OR('Öğrenci Listesi'!B36="",R35=""),"",ROUND(AVERAGE(C35:P35),2))</f>
        <v/>
      </c>
      <c r="R35" s="16">
        <f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ht="9" customHeight="1">
      <c r="A36" s="13">
        <f>IFERROR(IF('Öğrenci Listesi'!A37="","",'Öğrenci Listesi'!A37),"")</f>
        <v/>
      </c>
      <c r="B36" s="14">
        <f>IFERROR(IF('Öğrenci Listesi'!B37="","",'Öğrenci Listesi'!B37),"")</f>
        <v/>
      </c>
      <c r="C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D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E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F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G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H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I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J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K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L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M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N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O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P36" s="13">
        <f>IF(OR('Öğrenci Listesi'!B37="",R36=""),"",IF(R36="Çok İyi",CHOOSE(RANDBETWEEN(1,5),4,4,4,4,3),IF(R36="İyi",CHOOSE(RANDBETWEEN(1,5),3,3,3,4,2),IF(R36="Yeterli",CHOOSE(RANDBETWEEN(1,5),2,2,2,3,1),IF(R36="Geliştirilmeli",CHOOSE(RANDBETWEEN(1,5),1,1,1,1,2),"")))))</f>
        <v/>
      </c>
      <c r="Q36" s="15">
        <f>IF(OR('Öğrenci Listesi'!B37="",R36=""),"",ROUND(AVERAGE(C36:P36),2))</f>
        <v/>
      </c>
      <c r="R36" s="16">
        <f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ht="9" customHeight="1">
      <c r="A37" s="13">
        <f>IFERROR(IF('Öğrenci Listesi'!A38="","",'Öğrenci Listesi'!A38),"")</f>
        <v/>
      </c>
      <c r="B37" s="14">
        <f>IFERROR(IF('Öğrenci Listesi'!B38="","",'Öğrenci Listesi'!B38),"")</f>
        <v/>
      </c>
      <c r="C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D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E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F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G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H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I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J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K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L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M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N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O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P37" s="13">
        <f>IF(OR('Öğrenci Listesi'!B38="",R37=""),"",IF(R37="Çok İyi",CHOOSE(RANDBETWEEN(1,5),4,4,4,4,3),IF(R37="İyi",CHOOSE(RANDBETWEEN(1,5),3,3,3,4,2),IF(R37="Yeterli",CHOOSE(RANDBETWEEN(1,5),2,2,2,3,1),IF(R37="Geliştirilmeli",CHOOSE(RANDBETWEEN(1,5),1,1,1,1,2),"")))))</f>
        <v/>
      </c>
      <c r="Q37" s="15">
        <f>IF(OR('Öğrenci Listesi'!B38="",R37=""),"",ROUND(AVERAGE(C37:P37),2))</f>
        <v/>
      </c>
      <c r="R37" s="16">
        <f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ht="9" customHeight="1">
      <c r="A38" s="13">
        <f>IFERROR(IF('Öğrenci Listesi'!A39="","",'Öğrenci Listesi'!A39),"")</f>
        <v/>
      </c>
      <c r="B38" s="14">
        <f>IFERROR(IF('Öğrenci Listesi'!B39="","",'Öğrenci Listesi'!B39),"")</f>
        <v/>
      </c>
      <c r="C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D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E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F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G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H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I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J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K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L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M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N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O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P38" s="13">
        <f>IF(OR('Öğrenci Listesi'!B39="",R38=""),"",IF(R38="Çok İyi",CHOOSE(RANDBETWEEN(1,5),4,4,4,4,3),IF(R38="İyi",CHOOSE(RANDBETWEEN(1,5),3,3,3,4,2),IF(R38="Yeterli",CHOOSE(RANDBETWEEN(1,5),2,2,2,3,1),IF(R38="Geliştirilmeli",CHOOSE(RANDBETWEEN(1,5),1,1,1,1,2),"")))))</f>
        <v/>
      </c>
      <c r="Q38" s="15">
        <f>IF(OR('Öğrenci Listesi'!B39="",R38=""),"",ROUND(AVERAGE(C38:P38),2))</f>
        <v/>
      </c>
      <c r="R38" s="16">
        <f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ht="9" customHeight="1">
      <c r="A39" s="13">
        <f>IFERROR(IF('Öğrenci Listesi'!A40="","",'Öğrenci Listesi'!A40),"")</f>
        <v/>
      </c>
      <c r="B39" s="14">
        <f>IFERROR(IF('Öğrenci Listesi'!B40="","",'Öğrenci Listesi'!B40),"")</f>
        <v/>
      </c>
      <c r="C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D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E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F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G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H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I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J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K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L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M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N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O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P39" s="13">
        <f>IF(OR('Öğrenci Listesi'!B40="",R39=""),"",IF(R39="Çok İyi",CHOOSE(RANDBETWEEN(1,5),4,4,4,4,3),IF(R39="İyi",CHOOSE(RANDBETWEEN(1,5),3,3,3,4,2),IF(R39="Yeterli",CHOOSE(RANDBETWEEN(1,5),2,2,2,3,1),IF(R39="Geliştirilmeli",CHOOSE(RANDBETWEEN(1,5),1,1,1,1,2),"")))))</f>
        <v/>
      </c>
      <c r="Q39" s="15">
        <f>IF(OR('Öğrenci Listesi'!B40="",R39=""),"",ROUND(AVERAGE(C39:P39),2))</f>
        <v/>
      </c>
      <c r="R39" s="16">
        <f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ht="9" customHeight="1">
      <c r="A40" s="13">
        <f>IFERROR(IF('Öğrenci Listesi'!A41="","",'Öğrenci Listesi'!A41),"")</f>
        <v/>
      </c>
      <c r="B40" s="14">
        <f>IFERROR(IF('Öğrenci Listesi'!B41="","",'Öğrenci Listesi'!B41),"")</f>
        <v/>
      </c>
      <c r="C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D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E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F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G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H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I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J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K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L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M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N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O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P40" s="13">
        <f>IF(OR('Öğrenci Listesi'!B41="",R40=""),"",IF(R40="Çok İyi",CHOOSE(RANDBETWEEN(1,5),4,4,4,4,3),IF(R40="İyi",CHOOSE(RANDBETWEEN(1,5),3,3,3,4,2),IF(R40="Yeterli",CHOOSE(RANDBETWEEN(1,5),2,2,2,3,1),IF(R40="Geliştirilmeli",CHOOSE(RANDBETWEEN(1,5),1,1,1,1,2),"")))))</f>
        <v/>
      </c>
      <c r="Q40" s="15">
        <f>IF(OR('Öğrenci Listesi'!B41="",R40=""),"",ROUND(AVERAGE(C40:P40),2))</f>
        <v/>
      </c>
      <c r="R40" s="16">
        <f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ht="9" customHeight="1">
      <c r="A41" s="13">
        <f>IFERROR(IF('Öğrenci Listesi'!A42="","",'Öğrenci Listesi'!A42),"")</f>
        <v/>
      </c>
      <c r="B41" s="14">
        <f>IFERROR(IF('Öğrenci Listesi'!B42="","",'Öğrenci Listesi'!B42),"")</f>
        <v/>
      </c>
      <c r="C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D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E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F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G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H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I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J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K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L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M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N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O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P41" s="13">
        <f>IF(OR('Öğrenci Listesi'!B42="",R41=""),"",IF(R41="Çok İyi",CHOOSE(RANDBETWEEN(1,5),4,4,4,4,3),IF(R41="İyi",CHOOSE(RANDBETWEEN(1,5),3,3,3,4,2),IF(R41="Yeterli",CHOOSE(RANDBETWEEN(1,5),2,2,2,3,1),IF(R41="Geliştirilmeli",CHOOSE(RANDBETWEEN(1,5),1,1,1,1,2),"")))))</f>
        <v/>
      </c>
      <c r="Q41" s="15">
        <f>IF(OR('Öğrenci Listesi'!B42="",R41=""),"",ROUND(AVERAGE(C41:P41),2))</f>
        <v/>
      </c>
      <c r="R41" s="16">
        <f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ht="9" customHeight="1">
      <c r="A42" s="13">
        <f>IFERROR(IF('Öğrenci Listesi'!A43="","",'Öğrenci Listesi'!A43),"")</f>
        <v/>
      </c>
      <c r="B42" s="14">
        <f>IFERROR(IF('Öğrenci Listesi'!B43="","",'Öğrenci Listesi'!B43),"")</f>
        <v/>
      </c>
      <c r="C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D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E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F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G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H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I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J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K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L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M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N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O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P42" s="13">
        <f>IF(OR('Öğrenci Listesi'!B43="",R42=""),"",IF(R42="Çok İyi",CHOOSE(RANDBETWEEN(1,5),4,4,4,4,3),IF(R42="İyi",CHOOSE(RANDBETWEEN(1,5),3,3,3,4,2),IF(R42="Yeterli",CHOOSE(RANDBETWEEN(1,5),2,2,2,3,1),IF(R42="Geliştirilmeli",CHOOSE(RANDBETWEEN(1,5),1,1,1,1,2),"")))))</f>
        <v/>
      </c>
      <c r="Q42" s="15">
        <f>IF(OR('Öğrenci Listesi'!B43="",R42=""),"",ROUND(AVERAGE(C42:P42),2))</f>
        <v/>
      </c>
      <c r="R42" s="16">
        <f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ht="9" customHeight="1">
      <c r="A43" s="13">
        <f>IFERROR(IF('Öğrenci Listesi'!A44="","",'Öğrenci Listesi'!A44),"")</f>
        <v/>
      </c>
      <c r="B43" s="14">
        <f>IFERROR(IF('Öğrenci Listesi'!B44="","",'Öğrenci Listesi'!B44),"")</f>
        <v/>
      </c>
      <c r="C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D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E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F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G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H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I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J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K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L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M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N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O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P43" s="13">
        <f>IF(OR('Öğrenci Listesi'!B44="",R43=""),"",IF(R43="Çok İyi",CHOOSE(RANDBETWEEN(1,5),4,4,4,4,3),IF(R43="İyi",CHOOSE(RANDBETWEEN(1,5),3,3,3,4,2),IF(R43="Yeterli",CHOOSE(RANDBETWEEN(1,5),2,2,2,3,1),IF(R43="Geliştirilmeli",CHOOSE(RANDBETWEEN(1,5),1,1,1,1,2),"")))))</f>
        <v/>
      </c>
      <c r="Q43" s="15">
        <f>IF(OR('Öğrenci Listesi'!B44="",R43=""),"",ROUND(AVERAGE(C43:P43),2))</f>
        <v/>
      </c>
      <c r="R43" s="16">
        <f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ht="9" customHeight="1">
      <c r="A44" s="13">
        <f>IFERROR(IF('Öğrenci Listesi'!A45="","",'Öğrenci Listesi'!A45),"")</f>
        <v/>
      </c>
      <c r="B44" s="14">
        <f>IFERROR(IF('Öğrenci Listesi'!B45="","",'Öğrenci Listesi'!B45),"")</f>
        <v/>
      </c>
      <c r="C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D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E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F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G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H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I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J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K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L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M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N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O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P44" s="13">
        <f>IF(OR('Öğrenci Listesi'!B45="",R44=""),"",IF(R44="Çok İyi",CHOOSE(RANDBETWEEN(1,5),4,4,4,4,3),IF(R44="İyi",CHOOSE(RANDBETWEEN(1,5),3,3,3,4,2),IF(R44="Yeterli",CHOOSE(RANDBETWEEN(1,5),2,2,2,3,1),IF(R44="Geliştirilmeli",CHOOSE(RANDBETWEEN(1,5),1,1,1,1,2),"")))))</f>
        <v/>
      </c>
      <c r="Q44" s="15">
        <f>IF(OR('Öğrenci Listesi'!B45="",R44=""),"",ROUND(AVERAGE(C44:P44),2))</f>
        <v/>
      </c>
      <c r="R44" s="16">
        <f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6" ht="14" customHeight="1">
      <c r="A46" s="17" t="inlineStr">
        <is>
          <t>DEĞERLENDİRME ÖLÇEĞİ:  4 = Çok İyi  •  3 = İyi  •  2 = Yeterli  •  1 = Geliştirilmeli  |  💡 Öğrenci sayınız azsa boş satırları seçip silin</t>
        </is>
      </c>
    </row>
    <row r="47" ht="18" customHeight="1">
      <c r="A47" s="18">
        <f>Bilgiler!B6&amp;" Sınıf Öğretmeni"</f>
        <v/>
      </c>
      <c r="J47" s="18" t="inlineStr">
        <is>
          <t>Okul Müdürü</t>
        </is>
      </c>
    </row>
    <row r="48" ht="12" customHeight="1"/>
    <row r="49" ht="18" customHeight="1">
      <c r="A49" s="18">
        <f>Bilgiler!B9</f>
        <v/>
      </c>
      <c r="J49" s="18">
        <f>Bilgiler!B10</f>
        <v/>
      </c>
    </row>
  </sheetData>
  <mergeCells count="7">
    <mergeCell ref="A49:I49"/>
    <mergeCell ref="A47:I47"/>
    <mergeCell ref="A2:R2"/>
    <mergeCell ref="J49:R49"/>
    <mergeCell ref="A46:R46"/>
    <mergeCell ref="J47:R47"/>
    <mergeCell ref="A1:R1"/>
  </mergeCells>
  <conditionalFormatting sqref="R5:R44">
    <cfRule type="expression" priority="1" dxfId="0">
      <formula>R5="Çok İyi"</formula>
    </cfRule>
    <cfRule type="expression" priority="2" dxfId="1">
      <formula>R5="İyi"</formula>
    </cfRule>
    <cfRule type="expression" priority="3" dxfId="2">
      <formula>R5="Yeterli"</formula>
    </cfRule>
    <cfRule type="expression" priority="4" dxfId="3">
      <formula>R5="Geliştirilmeli"</formula>
    </cfRule>
  </conditionalFormatting>
  <conditionalFormatting sqref="Q5:Q44">
    <cfRule type="cellIs" priority="5" operator="greaterThanOrEqual" dxfId="0">
      <formula>3</formula>
    </cfRule>
    <cfRule type="cellIs" priority="6" operator="between" dxfId="1">
      <formula>2</formula>
      <formula>2.99</formula>
    </cfRule>
    <cfRule type="cellIs" priority="7" operator="between" dxfId="2">
      <formula>1.5</formula>
      <formula>1.99</formula>
    </cfRule>
    <cfRule type="cellIs" priority="8" operator="between" dxfId="3">
      <formula>0.01</formula>
      <formula>1.49</formula>
    </cfRule>
  </conditionalFormatting>
  <printOptions horizontalCentered="1"/>
  <pageMargins left="0.2" right="0.2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2026-05-08T22:41:00Z</dcterms:created>
  <dcterms:modified xmlns:dcterms="http://purl.org/dc/terms/" xmlns:xsi="http://www.w3.org/2001/XMLSchema-instance" xsi:type="dcterms:W3CDTF">2026-05-08T22:41:00Z</dcterms:modified>
</cp:coreProperties>
</file>