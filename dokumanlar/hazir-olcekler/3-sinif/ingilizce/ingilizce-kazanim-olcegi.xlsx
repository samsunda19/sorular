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'Ölçek'!$A$1:$X$49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İngilizce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9" customWidth="1" min="23" max="23"/>
    <col width="13" customWidth="1" min="24" max="24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Basit yönergeleri dinleyerek anlar ve uygular</t>
        </is>
      </c>
      <c r="D4" s="12" t="inlineStr">
        <is>
          <t>Dinlediği kısa diyaloglarda geçen bilgileri anlar</t>
        </is>
      </c>
      <c r="E4" s="12" t="inlineStr">
        <is>
          <t>Şarkı ve tekerlemeleri anlayarak tekrarlar</t>
        </is>
      </c>
      <c r="F4" s="12" t="inlineStr">
        <is>
          <t>Tanıdık konularda kısa konuşmaları anlar</t>
        </is>
      </c>
      <c r="G4" s="12" t="inlineStr">
        <is>
          <t>Kendini tanıtır ve temel kişisel bilgileri paylaşır</t>
        </is>
      </c>
      <c r="H4" s="12" t="inlineStr">
        <is>
          <t>Günlük hayatta sık kullanılan kalıp ifadeleri kullanır</t>
        </is>
      </c>
      <c r="I4" s="12" t="inlineStr">
        <is>
          <t>Nesneleri, renkleri ve sayıları İngilizce söyler</t>
        </is>
      </c>
      <c r="J4" s="12" t="inlineStr">
        <is>
          <t>Aile üyelerini ve meslekleri tanıtır</t>
        </is>
      </c>
      <c r="K4" s="12" t="inlineStr">
        <is>
          <t>Hayvanları tanımlayan basit cümleler kurar</t>
        </is>
      </c>
      <c r="L4" s="12" t="inlineStr">
        <is>
          <t>Tanıdık sözcükleri okur</t>
        </is>
      </c>
      <c r="M4" s="12" t="inlineStr">
        <is>
          <t>Kısa ve basit cümleleri okuyarak anlar</t>
        </is>
      </c>
      <c r="N4" s="12" t="inlineStr">
        <is>
          <t>Görsellerle desteklenmiş metinleri anlar</t>
        </is>
      </c>
      <c r="O4" s="12" t="inlineStr">
        <is>
          <t>Kısa okuma parçalarındaki bilgilere yanıt verir</t>
        </is>
      </c>
      <c r="P4" s="12" t="inlineStr">
        <is>
          <t>Tanıdık sözcükleri yazar</t>
        </is>
      </c>
      <c r="Q4" s="12" t="inlineStr">
        <is>
          <t>Kısa ve basit cümleleri kopyalar</t>
        </is>
      </c>
      <c r="R4" s="12" t="inlineStr">
        <is>
          <t>Eksik bırakılan kelimeleri tamamlar</t>
        </is>
      </c>
      <c r="S4" s="12" t="inlineStr">
        <is>
          <t>Tekil-çoğul yapılarını fark eder</t>
        </is>
      </c>
      <c r="T4" s="12" t="inlineStr">
        <is>
          <t>Temel soru yapılarını kullanır</t>
        </is>
      </c>
      <c r="U4" s="12" t="inlineStr">
        <is>
          <t>Renk, sayı ve nesne kelime dağarcığını kullanır</t>
        </is>
      </c>
      <c r="V4" s="12" t="inlineStr">
        <is>
          <t>Günlük hayat konularında kısa diyalog kurar</t>
        </is>
      </c>
      <c r="W4" s="11" t="inlineStr">
        <is>
          <t>ORTALAMA</t>
        </is>
      </c>
      <c r="X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D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E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F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G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H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I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J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K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L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M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N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O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P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Q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R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S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T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U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V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W5" s="15">
        <f>IF(OR('Öğrenci Listesi'!B6="",X5=""),"",ROUND(AVERAGE(C5:V5),2))</f>
        <v/>
      </c>
      <c r="X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D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E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F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G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H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I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J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K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L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M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N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O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P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Q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R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S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T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U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V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W6" s="15">
        <f>IF(OR('Öğrenci Listesi'!B7="",X6=""),"",ROUND(AVERAGE(C6:V6),2))</f>
        <v/>
      </c>
      <c r="X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D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E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F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G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H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I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J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K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L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M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N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O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P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Q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R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S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T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U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V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W7" s="15">
        <f>IF(OR('Öğrenci Listesi'!B8="",X7=""),"",ROUND(AVERAGE(C7:V7),2))</f>
        <v/>
      </c>
      <c r="X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D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E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F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G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H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I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J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K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L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M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N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O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P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Q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R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S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T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U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V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W8" s="15">
        <f>IF(OR('Öğrenci Listesi'!B9="",X8=""),"",ROUND(AVERAGE(C8:V8),2))</f>
        <v/>
      </c>
      <c r="X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D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E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F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G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H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I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J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K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L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M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N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O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P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Q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R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S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T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U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V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W9" s="15">
        <f>IF(OR('Öğrenci Listesi'!B10="",X9=""),"",ROUND(AVERAGE(C9:V9),2))</f>
        <v/>
      </c>
      <c r="X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D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E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F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G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H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I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J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K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L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M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N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O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P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Q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R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S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T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U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V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W10" s="15">
        <f>IF(OR('Öğrenci Listesi'!B11="",X10=""),"",ROUND(AVERAGE(C10:V10),2))</f>
        <v/>
      </c>
      <c r="X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D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E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F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G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H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I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J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K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L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M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N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O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P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Q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R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S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T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U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V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W11" s="15">
        <f>IF(OR('Öğrenci Listesi'!B12="",X11=""),"",ROUND(AVERAGE(C11:V11),2))</f>
        <v/>
      </c>
      <c r="X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D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E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F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G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H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I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J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K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L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M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N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O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P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Q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R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S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T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U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V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W12" s="15">
        <f>IF(OR('Öğrenci Listesi'!B13="",X12=""),"",ROUND(AVERAGE(C12:V12),2))</f>
        <v/>
      </c>
      <c r="X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D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E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F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G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H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I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J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K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L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M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N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O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P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Q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R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S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T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U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V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W13" s="15">
        <f>IF(OR('Öğrenci Listesi'!B14="",X13=""),"",ROUND(AVERAGE(C13:V13),2))</f>
        <v/>
      </c>
      <c r="X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D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E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F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G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H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I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J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K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L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M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N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O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P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Q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R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S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T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U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V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W14" s="15">
        <f>IF(OR('Öğrenci Listesi'!B15="",X14=""),"",ROUND(AVERAGE(C14:V14),2))</f>
        <v/>
      </c>
      <c r="X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D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E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F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G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H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I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J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K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L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M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N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O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P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Q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R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S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T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U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V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W15" s="15">
        <f>IF(OR('Öğrenci Listesi'!B16="",X15=""),"",ROUND(AVERAGE(C15:V15),2))</f>
        <v/>
      </c>
      <c r="X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D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E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F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G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H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I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J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K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L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M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N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O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P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Q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R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S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T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U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V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W16" s="15">
        <f>IF(OR('Öğrenci Listesi'!B17="",X16=""),"",ROUND(AVERAGE(C16:V16),2))</f>
        <v/>
      </c>
      <c r="X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D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E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F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G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H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I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J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K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L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M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N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O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P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Q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R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S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T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U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V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W17" s="15">
        <f>IF(OR('Öğrenci Listesi'!B18="",X17=""),"",ROUND(AVERAGE(C17:V17),2))</f>
        <v/>
      </c>
      <c r="X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D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E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F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G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H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I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J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K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L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M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N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O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P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Q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R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S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T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U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V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W18" s="15">
        <f>IF(OR('Öğrenci Listesi'!B19="",X18=""),"",ROUND(AVERAGE(C18:V18),2))</f>
        <v/>
      </c>
      <c r="X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D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E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F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G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H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I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J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K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L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M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N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O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P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Q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R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S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T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U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V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W19" s="15">
        <f>IF(OR('Öğrenci Listesi'!B20="",X19=""),"",ROUND(AVERAGE(C19:V19),2))</f>
        <v/>
      </c>
      <c r="X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D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E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F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G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H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I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J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K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L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M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N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O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P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Q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R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S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T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U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V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W20" s="15">
        <f>IF(OR('Öğrenci Listesi'!B21="",X20=""),"",ROUND(AVERAGE(C20:V20),2))</f>
        <v/>
      </c>
      <c r="X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D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E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F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G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H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I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J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K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L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M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N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O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P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Q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R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S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T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U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V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W21" s="15">
        <f>IF(OR('Öğrenci Listesi'!B22="",X21=""),"",ROUND(AVERAGE(C21:V21),2))</f>
        <v/>
      </c>
      <c r="X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D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E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F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G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H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I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J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K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L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M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N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O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P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Q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R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S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T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U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V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W22" s="15">
        <f>IF(OR('Öğrenci Listesi'!B23="",X22=""),"",ROUND(AVERAGE(C22:V22),2))</f>
        <v/>
      </c>
      <c r="X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D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E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F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G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H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I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J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K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L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M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N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O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P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Q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R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S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T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U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V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W23" s="15">
        <f>IF(OR('Öğrenci Listesi'!B24="",X23=""),"",ROUND(AVERAGE(C23:V23),2))</f>
        <v/>
      </c>
      <c r="X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D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E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F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G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H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I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J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K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L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M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N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O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P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Q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R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S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T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U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V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W24" s="15">
        <f>IF(OR('Öğrenci Listesi'!B25="",X24=""),"",ROUND(AVERAGE(C24:V24),2))</f>
        <v/>
      </c>
      <c r="X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D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E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F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G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H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I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J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K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L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M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N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O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P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Q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R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S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T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U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V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W25" s="15">
        <f>IF(OR('Öğrenci Listesi'!B26="",X25=""),"",ROUND(AVERAGE(C25:V25),2))</f>
        <v/>
      </c>
      <c r="X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D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E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F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G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H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I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J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K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L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M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N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O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P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Q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R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S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T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U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V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W26" s="15">
        <f>IF(OR('Öğrenci Listesi'!B27="",X26=""),"",ROUND(AVERAGE(C26:V26),2))</f>
        <v/>
      </c>
      <c r="X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D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E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F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G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H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I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J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K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L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M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N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O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P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Q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R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S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T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U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V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W27" s="15">
        <f>IF(OR('Öğrenci Listesi'!B28="",X27=""),"",ROUND(AVERAGE(C27:V27),2))</f>
        <v/>
      </c>
      <c r="X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D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E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F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G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H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I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J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K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L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M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N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O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P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Q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R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S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T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U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V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W28" s="15">
        <f>IF(OR('Öğrenci Listesi'!B29="",X28=""),"",ROUND(AVERAGE(C28:V28),2))</f>
        <v/>
      </c>
      <c r="X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D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E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F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G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H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I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J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K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L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M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N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O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P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Q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R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S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T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U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V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W29" s="15">
        <f>IF(OR('Öğrenci Listesi'!B30="",X29=""),"",ROUND(AVERAGE(C29:V29),2))</f>
        <v/>
      </c>
      <c r="X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D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E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F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G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H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I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J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K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L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M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N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O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P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Q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R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S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T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U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V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W30" s="15">
        <f>IF(OR('Öğrenci Listesi'!B31="",X30=""),"",ROUND(AVERAGE(C30:V30),2))</f>
        <v/>
      </c>
      <c r="X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D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E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F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G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H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I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J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K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L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M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N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O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P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Q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R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S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T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U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V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W31" s="15">
        <f>IF(OR('Öğrenci Listesi'!B32="",X31=""),"",ROUND(AVERAGE(C31:V31),2))</f>
        <v/>
      </c>
      <c r="X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D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E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F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G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H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I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J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K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L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M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N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O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P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Q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R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S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T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U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V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W32" s="15">
        <f>IF(OR('Öğrenci Listesi'!B33="",X32=""),"",ROUND(AVERAGE(C32:V32),2))</f>
        <v/>
      </c>
      <c r="X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D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E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F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G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H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I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J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K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L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M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N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O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P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Q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R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S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T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U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V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W33" s="15">
        <f>IF(OR('Öğrenci Listesi'!B34="",X33=""),"",ROUND(AVERAGE(C33:V33),2))</f>
        <v/>
      </c>
      <c r="X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D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E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F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G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H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I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J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K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L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M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N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O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P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Q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R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S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T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U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V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W34" s="15">
        <f>IF(OR('Öğrenci Listesi'!B35="",X34=""),"",ROUND(AVERAGE(C34:V34),2))</f>
        <v/>
      </c>
      <c r="X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D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E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F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G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H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I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J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K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L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M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N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O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P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Q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R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S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T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U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V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W35" s="15">
        <f>IF(OR('Öğrenci Listesi'!B36="",X35=""),"",ROUND(AVERAGE(C35:V35),2))</f>
        <v/>
      </c>
      <c r="X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D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E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F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G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H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I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J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K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L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M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N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O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P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Q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R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S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T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U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V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W36" s="15">
        <f>IF(OR('Öğrenci Listesi'!B37="",X36=""),"",ROUND(AVERAGE(C36:V36),2))</f>
        <v/>
      </c>
      <c r="X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D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E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F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G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H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I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J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K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L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M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N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O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P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Q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R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S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T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U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V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W37" s="15">
        <f>IF(OR('Öğrenci Listesi'!B38="",X37=""),"",ROUND(AVERAGE(C37:V37),2))</f>
        <v/>
      </c>
      <c r="X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D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E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F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G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H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I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J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K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L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M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N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O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P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Q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R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S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T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U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V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W38" s="15">
        <f>IF(OR('Öğrenci Listesi'!B39="",X38=""),"",ROUND(AVERAGE(C38:V38),2))</f>
        <v/>
      </c>
      <c r="X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D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E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F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G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H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I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J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K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L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M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N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O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P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Q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R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S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T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U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V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W39" s="15">
        <f>IF(OR('Öğrenci Listesi'!B40="",X39=""),"",ROUND(AVERAGE(C39:V39),2))</f>
        <v/>
      </c>
      <c r="X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D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E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F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G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H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I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J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K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L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M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N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O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P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Q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R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S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T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U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V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W40" s="15">
        <f>IF(OR('Öğrenci Listesi'!B41="",X40=""),"",ROUND(AVERAGE(C40:V40),2))</f>
        <v/>
      </c>
      <c r="X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D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E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F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G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H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I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J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K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L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M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N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O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P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Q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R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S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T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U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V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W41" s="15">
        <f>IF(OR('Öğrenci Listesi'!B42="",X41=""),"",ROUND(AVERAGE(C41:V41),2))</f>
        <v/>
      </c>
      <c r="X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D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E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F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G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H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I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J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K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L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M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N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O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P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Q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R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S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T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U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V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W42" s="15">
        <f>IF(OR('Öğrenci Listesi'!B43="",X42=""),"",ROUND(AVERAGE(C42:V42),2))</f>
        <v/>
      </c>
      <c r="X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D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E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F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G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H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I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J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K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L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M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N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O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P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Q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R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S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T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U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V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W43" s="15">
        <f>IF(OR('Öğrenci Listesi'!B44="",X43=""),"",ROUND(AVERAGE(C43:V43),2))</f>
        <v/>
      </c>
      <c r="X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D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E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F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G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H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I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J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K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L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M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N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O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P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Q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R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S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T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U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V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W44" s="15">
        <f>IF(OR('Öğrenci Listesi'!B45="",X44=""),"",ROUND(AVERAGE(C44:V44),2))</f>
        <v/>
      </c>
      <c r="X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M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M49" s="18">
        <f>Bilgiler!B10</f>
        <v/>
      </c>
    </row>
  </sheetData>
  <mergeCells count="7">
    <mergeCell ref="M47:X47"/>
    <mergeCell ref="A49:L49"/>
    <mergeCell ref="A2:X2"/>
    <mergeCell ref="A47:L47"/>
    <mergeCell ref="M49:X49"/>
    <mergeCell ref="A1:X1"/>
    <mergeCell ref="A46:X46"/>
  </mergeCells>
  <conditionalFormatting sqref="X5:X44">
    <cfRule type="expression" priority="1" dxfId="0">
      <formula>X5="Çok İyi"</formula>
    </cfRule>
    <cfRule type="expression" priority="2" dxfId="1">
      <formula>X5="İyi"</formula>
    </cfRule>
    <cfRule type="expression" priority="3" dxfId="2">
      <formula>X5="Yeterli"</formula>
    </cfRule>
    <cfRule type="expression" priority="4" dxfId="3">
      <formula>X5="Geliştirilmeli"</formula>
    </cfRule>
  </conditionalFormatting>
  <conditionalFormatting sqref="W5:W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2026-05-08T22:41:01Z</dcterms:created>
  <dcterms:modified xmlns:dcterms="http://purl.org/dc/terms/" xmlns:xsi="http://www.w3.org/2001/XMLSchema-instance" xsi:type="dcterms:W3CDTF">2026-05-08T22:41:01Z</dcterms:modified>
</cp:coreProperties>
</file>