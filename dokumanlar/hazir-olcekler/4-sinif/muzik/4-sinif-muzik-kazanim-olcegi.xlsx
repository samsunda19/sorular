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Ölçek!$A$1:$Y$48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<sst xmlns="http://schemas.openxmlformats.org/spreadsheetml/2006/main" count="48" uniqueCount="46">
  <si>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</si>
  <si>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</si>
  <si>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</si>
  <si>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</si>
  <si>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</si>
  <si>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</si>
  <si>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</si>
  <si>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Müzik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</si>
  <si>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</si>
  <si>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</si>
  <si>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</si>
  <si>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</si>
  <si>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</si>
  <si>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</si>
  <si>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</si>
  <si>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</si>
  <si>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</si>
  <si>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</si>
  <si>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</si>
  <si>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</si>
  <si>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</si>
  <si>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</si>
  <si>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Birlikte söyleme kurallarına uyar</t>
  </si>
  <si>
    <t xml:space="preserve">İstiklâl Marşı’nı doğru söylemeye özen gösterir</t>
  </si>
  <si>
    <t xml:space="preserve">Farklı ritmik yapıdaki ezgileri seslendirir</t>
  </si>
  <si>
    <t xml:space="preserve">Belirli gün ve haftaların anlamına uygun müzikler söyler</t>
  </si>
  <si>
    <t xml:space="preserve">Müzik çalışmalarını sergiler</t>
  </si>
  <si>
    <t xml:space="preserve">Temel müzik yazı ve ögelerini tanır</t>
  </si>
  <si>
    <t xml:space="preserve">Müzikteki ses yüksekliklerini grafikle gösterir</t>
  </si>
  <si>
    <t xml:space="preserve">Şarkı, türkü ve oyun müziklerinde hız değişikliklerini fark eder</t>
  </si>
  <si>
    <t xml:space="preserve">Öğrendiği seslerin temel özelliklerini ayırt eder</t>
  </si>
  <si>
    <t xml:space="preserve">Dinlediği müziklerdeki gürlük değişikliklerini fark eder</t>
  </si>
  <si>
    <t xml:space="preserve">Temel müzik yazı ve ögelerini (yükseklik, süre, hız, gürlük) bilişim destekli müzik teknolojilerini kullanarak ayırt eder</t>
  </si>
  <si>
    <t xml:space="preserve">Dinlediği müziklerle ilgili duygu ve düşüncelerini ifade eder</t>
  </si>
  <si>
    <t xml:space="preserve">Müziklere kendi oluşturduğu ritim kalıpları ile eşlik eder</t>
  </si>
  <si>
    <t xml:space="preserve">Kendi oluşturduğu ezgileri seslendirir</t>
  </si>
  <si>
    <t xml:space="preserve">Farklı ritmik yapıdaki ezgilere uygun hareket eder</t>
  </si>
  <si>
    <t xml:space="preserve">Müziklerde aynı ve farklı ezgi cümlelerini dansa dönüştürür</t>
  </si>
  <si>
    <t xml:space="preserve">Müzik arşivi oluşturmanın önemini fark eder</t>
  </si>
  <si>
    <t xml:space="preserve">Sınıfça ortak müzik arşivi oluşturur</t>
  </si>
  <si>
    <t xml:space="preserve">Farklı türlerdeki müzikleri dinleyerek müzik kültürünü geliştirir</t>
  </si>
  <si>
    <t xml:space="preserve">Öğrenilen müzikler aracılığıyla millî ve manevi bilinç kazanır</t>
  </si>
  <si>
    <t xml:space="preserve">Çevresindeki müzik etkinliklerine katılır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</si>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</sst>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23" min="3" style="0" width="4"/>
    <col collapsed="false" customWidth="true" hidden="false" outlineLevel="0" max="24" min="24" style="0" width="9"/>
    <col collapsed="false" customWidth="true" hidden="false" outlineLevel="0" max="25" min="25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Müzik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4" customFormat="false" ht="129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2" t="s">
        <v>43</v>
      </c>
      <c r="Y4" s="12" t="s">
        <v>44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D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E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F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G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H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I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J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K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L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M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N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O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P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Q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R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S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T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U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V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W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X5" s="17" t="str">
        <f aca="false">IF(OR('Öğrenci Listesi'!B6="",Y5=""),"",ROUND(AVERAGE(C5:W5),2))</f>
        <v/>
      </c>
      <c r="Y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D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E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F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G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H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I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J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K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L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M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N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O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P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Q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R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S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T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U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V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W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X6" s="17" t="str">
        <f aca="false">IF(OR('Öğrenci Listesi'!B7="",Y6=""),"",ROUND(AVERAGE(C6:W6),2))</f>
        <v/>
      </c>
      <c r="Y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D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E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F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G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H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I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J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K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L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M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N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O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P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Q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R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S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T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U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V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W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X7" s="17" t="str">
        <f aca="false">IF(OR('Öğrenci Listesi'!B8="",Y7=""),"",ROUND(AVERAGE(C7:W7),2))</f>
        <v/>
      </c>
      <c r="Y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D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E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F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G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H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I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J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K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L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M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N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O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P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Q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R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S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T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U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V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W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X8" s="17" t="str">
        <f aca="false">IF(OR('Öğrenci Listesi'!B9="",Y8=""),"",ROUND(AVERAGE(C8:W8),2))</f>
        <v/>
      </c>
      <c r="Y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D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E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F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G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H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I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J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K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L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M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N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O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P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Q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R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S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T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U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V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W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X9" s="17" t="str">
        <f aca="false">IF(OR('Öğrenci Listesi'!B10="",Y9=""),"",ROUND(AVERAGE(C9:W9),2))</f>
        <v/>
      </c>
      <c r="Y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D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E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F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G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H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I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J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K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L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M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N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O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P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Q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R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S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T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U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V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W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X10" s="17" t="str">
        <f aca="false">IF(OR('Öğrenci Listesi'!B11="",Y10=""),"",ROUND(AVERAGE(C10:W10),2))</f>
        <v/>
      </c>
      <c r="Y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D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E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F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G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H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I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J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K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L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M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N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O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P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Q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R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S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T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U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V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W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X11" s="17" t="str">
        <f aca="false">IF(OR('Öğrenci Listesi'!B12="",Y11=""),"",ROUND(AVERAGE(C11:W11),2))</f>
        <v/>
      </c>
      <c r="Y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D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E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F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G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H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I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J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K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L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M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N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O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P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Q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R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S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T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U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V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W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X12" s="17" t="str">
        <f aca="false">IF(OR('Öğrenci Listesi'!B13="",Y12=""),"",ROUND(AVERAGE(C12:W12),2))</f>
        <v/>
      </c>
      <c r="Y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D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E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F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G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H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I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J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K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L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M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N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O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P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Q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R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S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T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U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V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W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X13" s="17" t="str">
        <f aca="false">IF(OR('Öğrenci Listesi'!B14="",Y13=""),"",ROUND(AVERAGE(C13:W13),2))</f>
        <v/>
      </c>
      <c r="Y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D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E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F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G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H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I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J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K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L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M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N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O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P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Q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R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S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T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U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V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W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X14" s="17" t="str">
        <f aca="false">IF(OR('Öğrenci Listesi'!B15="",Y14=""),"",ROUND(AVERAGE(C14:W14),2))</f>
        <v/>
      </c>
      <c r="Y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D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E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F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G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H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I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J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K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L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M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N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O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P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Q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R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S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T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U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V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W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X15" s="17" t="str">
        <f aca="false">IF(OR('Öğrenci Listesi'!B16="",Y15=""),"",ROUND(AVERAGE(C15:W15),2))</f>
        <v/>
      </c>
      <c r="Y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D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E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F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G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H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I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J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K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L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M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N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O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P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Q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R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S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T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U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V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W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X16" s="17" t="str">
        <f aca="false">IF(OR('Öğrenci Listesi'!B17="",Y16=""),"",ROUND(AVERAGE(C16:W16),2))</f>
        <v/>
      </c>
      <c r="Y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D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E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F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G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H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I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J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K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L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M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N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O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P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Q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R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S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T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U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V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W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X17" s="17" t="str">
        <f aca="false">IF(OR('Öğrenci Listesi'!B18="",Y17=""),"",ROUND(AVERAGE(C17:W17),2))</f>
        <v/>
      </c>
      <c r="Y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D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E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F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G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H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I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J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K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L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M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N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O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P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Q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R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S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T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U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V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W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X18" s="17" t="str">
        <f aca="false">IF(OR('Öğrenci Listesi'!B19="",Y18=""),"",ROUND(AVERAGE(C18:W18),2))</f>
        <v/>
      </c>
      <c r="Y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D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E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F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G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H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I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J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K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L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M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N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O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P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Q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R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S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T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U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V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W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X19" s="17" t="str">
        <f aca="false">IF(OR('Öğrenci Listesi'!B20="",Y19=""),"",ROUND(AVERAGE(C19:W19),2))</f>
        <v/>
      </c>
      <c r="Y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D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E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F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G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H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I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J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K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L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M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N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O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P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Q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R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S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T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U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V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W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X20" s="17" t="str">
        <f aca="false">IF(OR('Öğrenci Listesi'!B21="",Y20=""),"",ROUND(AVERAGE(C20:W20),2))</f>
        <v/>
      </c>
      <c r="Y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D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E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F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G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H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I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J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K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L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M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N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O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P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Q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R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S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T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U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V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W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X21" s="17" t="str">
        <f aca="false">IF(OR('Öğrenci Listesi'!B22="",Y21=""),"",ROUND(AVERAGE(C21:W21),2))</f>
        <v/>
      </c>
      <c r="Y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D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E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F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G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H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I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J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K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L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M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N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O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P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Q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R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S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T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U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V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W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X22" s="17" t="str">
        <f aca="false">IF(OR('Öğrenci Listesi'!B23="",Y22=""),"",ROUND(AVERAGE(C22:W22),2))</f>
        <v/>
      </c>
      <c r="Y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D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E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F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G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H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I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J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K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L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M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N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O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P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Q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R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S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T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U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V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W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X23" s="17" t="str">
        <f aca="false">IF(OR('Öğrenci Listesi'!B24="",Y23=""),"",ROUND(AVERAGE(C23:W23),2))</f>
        <v/>
      </c>
      <c r="Y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D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E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F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G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H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I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J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K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L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M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N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O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P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Q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R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S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T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U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V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W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X24" s="17" t="str">
        <f aca="false">IF(OR('Öğrenci Listesi'!B25="",Y24=""),"",ROUND(AVERAGE(C24:W24),2))</f>
        <v/>
      </c>
      <c r="Y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D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E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F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G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H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I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J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K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L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M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N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O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P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Q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R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S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T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U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V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W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X25" s="17" t="str">
        <f aca="false">IF(OR('Öğrenci Listesi'!B26="",Y25=""),"",ROUND(AVERAGE(C25:W25),2))</f>
        <v/>
      </c>
      <c r="Y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D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E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F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G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H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I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J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K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L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M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N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O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P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Q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R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S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T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U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V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W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X26" s="17" t="str">
        <f aca="false">IF(OR('Öğrenci Listesi'!B27="",Y26=""),"",ROUND(AVERAGE(C26:W26),2))</f>
        <v/>
      </c>
      <c r="Y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D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E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F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G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H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I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J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K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L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M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N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O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P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Q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R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S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T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U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V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W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X27" s="17" t="str">
        <f aca="false">IF(OR('Öğrenci Listesi'!B28="",Y27=""),"",ROUND(AVERAGE(C27:W27),2))</f>
        <v/>
      </c>
      <c r="Y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D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E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F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G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H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I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J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K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L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M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N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O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P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Q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R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S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T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U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V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W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X28" s="17" t="str">
        <f aca="false">IF(OR('Öğrenci Listesi'!B29="",Y28=""),"",ROUND(AVERAGE(C28:W28),2))</f>
        <v/>
      </c>
      <c r="Y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D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E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F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G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H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I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J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K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L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M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N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O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P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Q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R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S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T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U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V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W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X29" s="17" t="str">
        <f aca="false">IF(OR('Öğrenci Listesi'!B30="",Y29=""),"",ROUND(AVERAGE(C29:W29),2))</f>
        <v/>
      </c>
      <c r="Y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D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E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F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G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H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I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J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K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L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M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N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O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P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Q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R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S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T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U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V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W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X30" s="17" t="str">
        <f aca="false">IF(OR('Öğrenci Listesi'!B31="",Y30=""),"",ROUND(AVERAGE(C30:W30),2))</f>
        <v/>
      </c>
      <c r="Y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D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E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F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G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H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I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J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K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L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M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N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O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P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Q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R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S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T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U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V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W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X31" s="17" t="str">
        <f aca="false">IF(OR('Öğrenci Listesi'!B32="",Y31=""),"",ROUND(AVERAGE(C31:W31),2))</f>
        <v/>
      </c>
      <c r="Y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D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E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F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G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H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I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J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K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L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M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N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O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P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Q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R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S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T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U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V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W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X32" s="17" t="str">
        <f aca="false">IF(OR('Öğrenci Listesi'!B33="",Y32=""),"",ROUND(AVERAGE(C32:W32),2))</f>
        <v/>
      </c>
      <c r="Y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D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E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F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G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H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I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J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K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L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M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N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O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P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Q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R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S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T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U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V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W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X33" s="17" t="str">
        <f aca="false">IF(OR('Öğrenci Listesi'!B34="",Y33=""),"",ROUND(AVERAGE(C33:W33),2))</f>
        <v/>
      </c>
      <c r="Y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D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E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F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G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H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I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J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K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L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M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N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O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P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Q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R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S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T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U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V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W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X34" s="17" t="str">
        <f aca="false">IF(OR('Öğrenci Listesi'!B35="",Y34=""),"",ROUND(AVERAGE(C34:W34),2))</f>
        <v/>
      </c>
      <c r="Y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D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E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F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G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H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I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J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K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L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M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N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O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P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Q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R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S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T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U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V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W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X35" s="17" t="str">
        <f aca="false">IF(OR('Öğrenci Listesi'!B36="",Y35=""),"",ROUND(AVERAGE(C35:W35),2))</f>
        <v/>
      </c>
      <c r="Y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D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E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F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G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H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I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J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K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L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M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N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O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P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Q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R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S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T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U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V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W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X36" s="17" t="str">
        <f aca="false">IF(OR('Öğrenci Listesi'!B37="",Y36=""),"",ROUND(AVERAGE(C36:W36),2))</f>
        <v/>
      </c>
      <c r="Y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D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E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F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G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H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I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J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K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L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M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N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O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P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Q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R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S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T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U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V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W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X37" s="17" t="str">
        <f aca="false">IF(OR('Öğrenci Listesi'!B38="",Y37=""),"",ROUND(AVERAGE(C37:W37),2))</f>
        <v/>
      </c>
      <c r="Y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D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E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F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G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H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I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J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K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L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M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N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O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P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Q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R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S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T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U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V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W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X38" s="17" t="str">
        <f aca="false">IF(OR('Öğrenci Listesi'!B39="",Y38=""),"",ROUND(AVERAGE(C38:W38),2))</f>
        <v/>
      </c>
      <c r="Y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D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E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F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G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H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I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J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K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L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M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N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O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P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Q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R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S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T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U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V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W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X39" s="17" t="str">
        <f aca="false">IF(OR('Öğrenci Listesi'!B40="",Y39=""),"",ROUND(AVERAGE(C39:W39),2))</f>
        <v/>
      </c>
      <c r="Y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D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E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F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G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H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I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J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K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L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M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N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O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P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Q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R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S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T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U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V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W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X40" s="17" t="str">
        <f aca="false">IF(OR('Öğrenci Listesi'!B41="",Y40=""),"",ROUND(AVERAGE(C40:W40),2))</f>
        <v/>
      </c>
      <c r="Y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D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E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F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G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H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I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J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K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L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M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N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O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P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Q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R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S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T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U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V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W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X41" s="17" t="str">
        <f aca="false">IF(OR('Öğrenci Listesi'!B42="",Y41=""),"",ROUND(AVERAGE(C41:W41),2))</f>
        <v/>
      </c>
      <c r="Y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D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E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F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G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H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I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J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K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L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M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N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O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P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Q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R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S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T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U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V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W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X42" s="17" t="str">
        <f aca="false">IF(OR('Öğrenci Listesi'!B43="",Y42=""),"",ROUND(AVERAGE(C42:W42),2))</f>
        <v/>
      </c>
      <c r="Y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D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E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F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G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H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I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J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K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L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M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N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O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P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Q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R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S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T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U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V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W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X43" s="17" t="str">
        <f aca="false">IF(OR('Öğrenci Listesi'!B44="",Y43=""),"",ROUND(AVERAGE(C43:W43),2))</f>
        <v/>
      </c>
      <c r="Y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D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E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F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G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H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I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J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K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L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M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N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O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P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Q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R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S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T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U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V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W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X44" s="17" t="str">
        <f aca="false">IF(OR('Öğrenci Listesi'!B45="",Y44=""),"",ROUND(AVERAGE(C44:W44),2))</f>
        <v/>
      </c>
      <c r="Y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45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 t="s">
        <v>9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 t="n">
        <f aca="false">Bilgiler!B10</f>
        <v>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</sheetData>
  <mergeCells count="7">
    <mergeCell ref="A1:Y1"/>
    <mergeCell ref="A2:Y2"/>
    <mergeCell ref="A45:Y45"/>
    <mergeCell ref="A46:L46"/>
    <mergeCell ref="M46:Y46"/>
    <mergeCell ref="A48:L48"/>
    <mergeCell ref="M48:Y48"/>
  </mergeCells>
  <conditionalFormatting sqref="Y5:Y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X5:X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AND(X5&gt;=2,X5&lt;3)</formula>
    </cfRule>
    <cfRule type="expression" priority="8" aboveAverage="0" equalAverage="0" bottom="0" percent="0" rank="0" text="" dxfId="2">
      <formula>AND(X5&gt;=1.5,X5&lt;2)</formula>
    </cfRule>
    <cfRule type="expression" priority="9" aboveAverage="0" equalAverage="0" bottom="0" percent="0" rank="0" text="" dxfId="3">
      <formula>AND(X5&gt;0,X5&lt;1.5)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2026-05-08T21:24:49Z</dcterms:created>
  <dc:creator>openpyxl</dc:creator>
  <dc:description/>
  <dc:language>en-US</dc:language>
  <cp:lastModifiedBy/>
  <dcterms:modified xsi:type="dcterms:W3CDTF">2026-05-08T21:24:49Z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