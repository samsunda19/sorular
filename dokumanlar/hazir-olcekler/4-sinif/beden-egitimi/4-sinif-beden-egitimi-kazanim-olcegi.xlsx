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ilgiler" sheetId="1" state="visible" r:id="rId3"/>
    <sheet name="Öğrenci Listesi" sheetId="2" state="visible" r:id="rId4"/>
    <sheet name="Ölçek" sheetId="3" state="visible" r:id="rId5"/>
  </sheets>
  <definedNames>
    <definedName function="false" hidden="false" localSheetId="2" name="_xlnm.Print_Area" vbProcedure="false">Ölçek!$A$1:$AC$48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<sst xmlns="http://schemas.openxmlformats.org/spreadsheetml/2006/main" count="52" uniqueCount="50">
  <si>
    <t xml:space="preserve">📝 BİLGİLERİ DOLDURUNUZ</t>
  </si>
  <si>
    <t xml:space="preserve">Aşağıdaki bilgileri kendi okulunuza ve sınıfınıza göre doldurun. 'Ölçek' sayfasındaki başlıklar otomatik güncellenecek.</t>
  </si>
  <si>
    <t xml:space="preserve">Okul Adı</t>
  </si>
  <si>
    <t xml:space="preserve">Eğitim Öğretim Yılı</t>
  </si>
  <si>
    <t xml:space="preserve">Sınıf / Şube</t>
  </si>
  <si>
    <t xml:space="preserve">Dönem</t>
  </si>
  <si>
    <t xml:space="preserve">Ders</t>
  </si>
  <si>
    <t xml:space="preserve">Beden Eğitimi ve Oyun</t>
  </si>
  <si>
    <t xml:space="preserve">Sınıf Öğretmeni</t>
  </si>
  <si>
    <t xml:space="preserve">Okul Müdürü</t>
  </si>
  <si>
    <t xml:space="preserve">📋 SİSTEMDEN ÖĞRENCİ LİSTESİNİ BURAYA YAPIŞTIRIN</t>
  </si>
  <si>
    <t xml:space="preserve">Sistemde notları işaretledikten sonra tüm tabloyu kopyalayın (Ctrl+C), aşağıdaki sarı alana yapıştırın (Ctrl+V).</t>
  </si>
  <si>
    <t xml:space="preserve">✓ Öğrenci adları, numaraları ve seviyeler 'Ölçek' sayfasına otomatik aktarılacak.</t>
  </si>
  <si>
    <t xml:space="preserve">NO</t>
  </si>
  <si>
    <t xml:space="preserve">ADI SOYADI</t>
  </si>
  <si>
    <t xml:space="preserve">Geliştirilmeli</t>
  </si>
  <si>
    <t xml:space="preserve">Yeterli</t>
  </si>
  <si>
    <t xml:space="preserve">İyi</t>
  </si>
  <si>
    <t xml:space="preserve">Çok İyi</t>
  </si>
  <si>
    <t xml:space="preserve">SONUÇ</t>
  </si>
  <si>
    <t xml:space="preserve">(yok sayılır)</t>
  </si>
  <si>
    <t xml:space="preserve">ADI VE SOYADI</t>
  </si>
  <si>
    <t xml:space="preserve">Yer değiştirme hareketlerini artan kuvvet, hız ve çeviklikle yapar</t>
  </si>
  <si>
    <t xml:space="preserve">Oyunlarda dengeleme gerektiren hareketleri etkili kullanır</t>
  </si>
  <si>
    <t xml:space="preserve">Oyunlarda nesne kontrolü gerektiren hareketleri etkili kullanır</t>
  </si>
  <si>
    <t xml:space="preserve">Özgün, danslar yapar</t>
  </si>
  <si>
    <t xml:space="preserve">Kurallı takım oyunları oynar</t>
  </si>
  <si>
    <t xml:space="preserve">Hareket becerileri ile ilgili kavramları yerinde kullanır</t>
  </si>
  <si>
    <t xml:space="preserve">Oynadığı oyunların içindeki hareket becerilerini tanımlar</t>
  </si>
  <si>
    <t xml:space="preserve">Oyun ve fiziki etkinliklerde kendisinin ve arkadaşlarının performanslarını değerlendirir</t>
  </si>
  <si>
    <t xml:space="preserve">Çeşitli stratejileri ve taktikleri kullanarak oyunlar tasarlar</t>
  </si>
  <si>
    <t xml:space="preserve">Çeşitli stratejileri ve taktikleri kullanarak tasarladığı oyunları arkadaşlarıyla oynar</t>
  </si>
  <si>
    <t xml:space="preserve">Okul dışında oyun ve fiziki etkinliklere düzenli olarak katılır</t>
  </si>
  <si>
    <t xml:space="preserve">Fiziksel uygunluğunu geliştirmek için hazırladığı programları uygular</t>
  </si>
  <si>
    <t xml:space="preserve">Fiziksel uygunluğunu geliştirecek uygun programlar tasarlar</t>
  </si>
  <si>
    <t xml:space="preserve">Sağlığını korumak için günlük ve haftalık beslenme listesi hazırlar</t>
  </si>
  <si>
    <t xml:space="preserve">Oyun ve fiziki etkinliklere uygun spor kıyafetiyle katılır</t>
  </si>
  <si>
    <t xml:space="preserve">Oyun ve fiziki etkinliklerde kendinin ve başkalarının güvenliğiyle ilgili sorumluluk alır</t>
  </si>
  <si>
    <t xml:space="preserve">Oyun ve fiziki etkinliklerde zamanını etkili kullanır</t>
  </si>
  <si>
    <t xml:space="preserve">Oyun ve fiziki etkinliklerde çevreye duyarlılık gösterir</t>
  </si>
  <si>
    <t xml:space="preserve">Oyun ve fiziki etkinliklerde iş birliği yapar</t>
  </si>
  <si>
    <t xml:space="preserve">Oyun ve fiziki etkinliklerde adil oyun anlayışı sergiler</t>
  </si>
  <si>
    <t xml:space="preserve">Oyun ve fiziki etkinliklerde karşılaştığı problemleri çözer</t>
  </si>
  <si>
    <t xml:space="preserve">Bayram, kutlama ve törenlerde sorumluluk alır</t>
  </si>
  <si>
    <t xml:space="preserve">Kültürümüze ve diğer kültürlere ait halk danslarını yapar</t>
  </si>
  <si>
    <t xml:space="preserve">Kültürümüze ve diğer kültürlere ait çocuk oyunlarını oynar</t>
  </si>
  <si>
    <t xml:space="preserve">Uluslararası müsabakalarda başarılı olmuş Türk sporcularını araştırır</t>
  </si>
  <si>
    <t xml:space="preserve">ORTALAMA</t>
  </si>
  <si>
    <t xml:space="preserve">SEVİYE</t>
  </si>
  <si>
    <t xml:space="preserve">DEĞERLENDİRME ÖLÇEĞİ:  4 = Çok İyi  •  3 = İyi  •  2 = Yeterli  •  1 = Geliştirilmeli  |  💡 Öğrenci sayınız azsa boş satırları seçip silin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</si>
</sst>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.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78716C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i val="true"/>
      <sz val="9"/>
      <color rgb="FF78716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7"/>
      <color rgb="FFFFFFFF"/>
      <name val="Arial"/>
      <family val="0"/>
      <charset val="1"/>
    </font>
    <font>
      <b val="true"/>
      <sz val="6"/>
      <color rgb="FFFFFFFF"/>
      <name val="Arial"/>
      <family val="0"/>
      <charset val="1"/>
    </font>
    <font>
      <sz val="7"/>
      <name val="Arial"/>
      <family val="0"/>
      <charset val="1"/>
    </font>
    <font>
      <b val="true"/>
      <sz val="7"/>
      <name val="Arial"/>
      <family val="0"/>
      <charset val="1"/>
    </font>
    <font>
      <b val="true"/>
      <sz val="8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C1917"/>
        <bgColor rgb="FF333333"/>
      </patternFill>
    </fill>
    <fill>
      <patternFill patternType="solid">
        <fgColor rgb="FFE7F3FF"/>
        <bgColor rgb="FFF5F5F4"/>
      </patternFill>
    </fill>
    <fill>
      <patternFill patternType="solid">
        <fgColor rgb="FFFFF8E7"/>
        <bgColor rgb="FFF5F5F4"/>
      </patternFill>
    </fill>
    <fill>
      <patternFill patternType="solid">
        <fgColor rgb="FFF5F5F4"/>
        <bgColor rgb="FFFFF8E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bottom" textRotation="9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C6EFCE"/>
        </patternFill>
      </fill>
    </dxf>
    <dxf>
      <fill>
        <patternFill>
          <bgColor rgb="FFE2EFDA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8716C"/>
      <rgbColor rgb="FF9999FF"/>
      <rgbColor rgb="FF993366"/>
      <rgbColor rgb="FFFFF8E7"/>
      <rgbColor rgb="FFE7F3FF"/>
      <rgbColor rgb="FF660066"/>
      <rgbColor rgb="FFFF8080"/>
      <rgbColor rgb="FF0066CC"/>
      <rgbColor rgb="FFF5F5F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1C1917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50"/>
  </cols>
  <sheetData>
    <row r="1" customFormat="false" ht="30" hidden="false" customHeight="true" outlineLevel="0" collapsed="false">
      <c r="A1" s="1" t="s">
        <v>0</v>
      </c>
      <c r="B1" s="1"/>
    </row>
    <row r="2" customFormat="false" ht="30" hidden="false" customHeight="true" outlineLevel="0" collapsed="false">
      <c r="A2" s="2" t="s">
        <v>1</v>
      </c>
      <c r="B2" s="2"/>
    </row>
    <row r="4" customFormat="false" ht="27.75" hidden="false" customHeight="true" outlineLevel="0" collapsed="false">
      <c r="A4" s="3" t="s">
        <v>2</v>
      </c>
      <c r="B4" s="4"/>
    </row>
    <row r="5" customFormat="false" ht="27.75" hidden="false" customHeight="true" outlineLevel="0" collapsed="false">
      <c r="A5" s="3" t="s">
        <v>3</v>
      </c>
      <c r="B5" s="4"/>
    </row>
    <row r="6" customFormat="false" ht="27.75" hidden="false" customHeight="true" outlineLevel="0" collapsed="false">
      <c r="A6" s="3" t="s">
        <v>4</v>
      </c>
      <c r="B6" s="4"/>
    </row>
    <row r="7" customFormat="false" ht="27.75" hidden="false" customHeight="true" outlineLevel="0" collapsed="false">
      <c r="A7" s="3" t="s">
        <v>5</v>
      </c>
      <c r="B7" s="4"/>
    </row>
    <row r="8" customFormat="false" ht="27.75" hidden="false" customHeight="true" outlineLevel="0" collapsed="false">
      <c r="A8" s="3" t="s">
        <v>6</v>
      </c>
      <c r="B8" s="4" t="s">
        <v>7</v>
      </c>
    </row>
    <row r="9" customFormat="false" ht="27.75" hidden="false" customHeight="true" outlineLevel="0" collapsed="false">
      <c r="A9" s="3" t="s">
        <v>8</v>
      </c>
      <c r="B9" s="4"/>
    </row>
    <row r="10" customFormat="false" ht="27.75" hidden="false" customHeight="true" outlineLevel="0" collapsed="false">
      <c r="A10" s="3" t="s">
        <v>9</v>
      </c>
      <c r="B10" s="4"/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5"/>
    <col collapsed="false" customWidth="true" hidden="false" outlineLevel="0" max="6" min="3" style="0" width="13"/>
    <col collapsed="false" customWidth="true" hidden="false" outlineLevel="0" max="7" min="7" style="0" width="14"/>
    <col collapsed="false" customWidth="true" hidden="false" outlineLevel="0" max="8" min="8" style="0" width="18"/>
  </cols>
  <sheetData>
    <row r="1" customFormat="false" ht="30" hidden="false" customHeight="true" outlineLevel="0" collapsed="false">
      <c r="A1" s="1" t="s">
        <v>10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5" t="s">
        <v>11</v>
      </c>
      <c r="B2" s="5"/>
      <c r="C2" s="5"/>
      <c r="D2" s="5"/>
      <c r="E2" s="5"/>
      <c r="F2" s="5"/>
      <c r="G2" s="5"/>
      <c r="H2" s="5"/>
    </row>
    <row r="3" customFormat="false" ht="15" hidden="false" customHeight="false" outlineLevel="0" collapsed="false">
      <c r="A3" s="6" t="s">
        <v>12</v>
      </c>
      <c r="B3" s="6"/>
      <c r="C3" s="6"/>
      <c r="D3" s="6"/>
      <c r="E3" s="6"/>
      <c r="F3" s="6"/>
      <c r="G3" s="6"/>
      <c r="H3" s="6"/>
    </row>
    <row r="5" customFormat="false" ht="21.75" hidden="false" customHeight="true" outlineLevel="0" collapsed="false">
      <c r="A5" s="7" t="s">
        <v>13</v>
      </c>
      <c r="B5" s="7" t="s">
        <v>14</v>
      </c>
      <c r="C5" s="7" t="s">
        <v>15</v>
      </c>
      <c r="D5" s="7" t="s">
        <v>16</v>
      </c>
      <c r="E5" s="7" t="s">
        <v>17</v>
      </c>
      <c r="F5" s="7" t="s">
        <v>18</v>
      </c>
      <c r="G5" s="7" t="s">
        <v>19</v>
      </c>
      <c r="H5" s="7" t="s">
        <v>20</v>
      </c>
    </row>
    <row r="6" customFormat="false" ht="18" hidden="false" customHeight="true" outlineLevel="0" collapsed="false">
      <c r="A6" s="8"/>
      <c r="B6" s="9"/>
      <c r="C6" s="10"/>
      <c r="D6" s="10"/>
      <c r="E6" s="10"/>
      <c r="F6" s="10"/>
      <c r="G6" s="8"/>
      <c r="H6" s="10"/>
    </row>
    <row r="7" customFormat="false" ht="18" hidden="false" customHeight="true" outlineLevel="0" collapsed="false">
      <c r="A7" s="8"/>
      <c r="B7" s="9"/>
      <c r="C7" s="10"/>
      <c r="D7" s="10"/>
      <c r="E7" s="10"/>
      <c r="F7" s="10"/>
      <c r="G7" s="8"/>
      <c r="H7" s="10"/>
    </row>
    <row r="8" customFormat="false" ht="18" hidden="false" customHeight="true" outlineLevel="0" collapsed="false">
      <c r="A8" s="8"/>
      <c r="B8" s="9"/>
      <c r="C8" s="10"/>
      <c r="D8" s="10"/>
      <c r="E8" s="10"/>
      <c r="F8" s="10"/>
      <c r="G8" s="8"/>
      <c r="H8" s="10"/>
    </row>
    <row r="9" customFormat="false" ht="18" hidden="false" customHeight="true" outlineLevel="0" collapsed="false">
      <c r="A9" s="8"/>
      <c r="B9" s="9"/>
      <c r="C9" s="10"/>
      <c r="D9" s="10"/>
      <c r="E9" s="10"/>
      <c r="F9" s="10"/>
      <c r="G9" s="8"/>
      <c r="H9" s="10"/>
    </row>
    <row r="10" customFormat="false" ht="18" hidden="false" customHeight="true" outlineLevel="0" collapsed="false">
      <c r="A10" s="8"/>
      <c r="B10" s="9"/>
      <c r="C10" s="10"/>
      <c r="D10" s="10"/>
      <c r="E10" s="10"/>
      <c r="F10" s="10"/>
      <c r="G10" s="8"/>
      <c r="H10" s="10"/>
    </row>
    <row r="11" customFormat="false" ht="18" hidden="false" customHeight="true" outlineLevel="0" collapsed="false">
      <c r="A11" s="8"/>
      <c r="B11" s="9"/>
      <c r="C11" s="10"/>
      <c r="D11" s="10"/>
      <c r="E11" s="10"/>
      <c r="F11" s="10"/>
      <c r="G11" s="8"/>
      <c r="H11" s="10"/>
    </row>
    <row r="12" customFormat="false" ht="18" hidden="false" customHeight="true" outlineLevel="0" collapsed="false">
      <c r="A12" s="8"/>
      <c r="B12" s="9"/>
      <c r="C12" s="10"/>
      <c r="D12" s="10"/>
      <c r="E12" s="10"/>
      <c r="F12" s="10"/>
      <c r="G12" s="8"/>
      <c r="H12" s="10"/>
    </row>
    <row r="13" customFormat="false" ht="18" hidden="false" customHeight="true" outlineLevel="0" collapsed="false">
      <c r="A13" s="8"/>
      <c r="B13" s="9"/>
      <c r="C13" s="10"/>
      <c r="D13" s="10"/>
      <c r="E13" s="10"/>
      <c r="F13" s="10"/>
      <c r="G13" s="8"/>
      <c r="H13" s="10"/>
    </row>
    <row r="14" customFormat="false" ht="18" hidden="false" customHeight="true" outlineLevel="0" collapsed="false">
      <c r="A14" s="8"/>
      <c r="B14" s="9"/>
      <c r="C14" s="10"/>
      <c r="D14" s="10"/>
      <c r="E14" s="10"/>
      <c r="F14" s="10"/>
      <c r="G14" s="8"/>
      <c r="H14" s="10"/>
    </row>
    <row r="15" customFormat="false" ht="18" hidden="false" customHeight="true" outlineLevel="0" collapsed="false">
      <c r="A15" s="8"/>
      <c r="B15" s="9"/>
      <c r="C15" s="10"/>
      <c r="D15" s="10"/>
      <c r="E15" s="10"/>
      <c r="F15" s="10"/>
      <c r="G15" s="8"/>
      <c r="H15" s="10"/>
    </row>
    <row r="16" customFormat="false" ht="18" hidden="false" customHeight="true" outlineLevel="0" collapsed="false">
      <c r="A16" s="8"/>
      <c r="B16" s="9"/>
      <c r="C16" s="10"/>
      <c r="D16" s="10"/>
      <c r="E16" s="10"/>
      <c r="F16" s="10"/>
      <c r="G16" s="8"/>
      <c r="H16" s="10"/>
    </row>
    <row r="17" customFormat="false" ht="18" hidden="false" customHeight="true" outlineLevel="0" collapsed="false">
      <c r="A17" s="8"/>
      <c r="B17" s="9"/>
      <c r="C17" s="10"/>
      <c r="D17" s="10"/>
      <c r="E17" s="10"/>
      <c r="F17" s="10"/>
      <c r="G17" s="8"/>
      <c r="H17" s="10"/>
    </row>
    <row r="18" customFormat="false" ht="18" hidden="false" customHeight="true" outlineLevel="0" collapsed="false">
      <c r="A18" s="8"/>
      <c r="B18" s="9"/>
      <c r="C18" s="10"/>
      <c r="D18" s="10"/>
      <c r="E18" s="10"/>
      <c r="F18" s="10"/>
      <c r="G18" s="8"/>
      <c r="H18" s="10"/>
    </row>
    <row r="19" customFormat="false" ht="18" hidden="false" customHeight="true" outlineLevel="0" collapsed="false">
      <c r="A19" s="8"/>
      <c r="B19" s="9"/>
      <c r="C19" s="10"/>
      <c r="D19" s="10"/>
      <c r="E19" s="10"/>
      <c r="F19" s="10"/>
      <c r="G19" s="8"/>
      <c r="H19" s="10"/>
    </row>
    <row r="20" customFormat="false" ht="18" hidden="false" customHeight="true" outlineLevel="0" collapsed="false">
      <c r="A20" s="8"/>
      <c r="B20" s="9"/>
      <c r="C20" s="10"/>
      <c r="D20" s="10"/>
      <c r="E20" s="10"/>
      <c r="F20" s="10"/>
      <c r="G20" s="8"/>
      <c r="H20" s="10"/>
    </row>
    <row r="21" customFormat="false" ht="18" hidden="false" customHeight="true" outlineLevel="0" collapsed="false">
      <c r="A21" s="8"/>
      <c r="B21" s="9"/>
      <c r="C21" s="10"/>
      <c r="D21" s="10"/>
      <c r="E21" s="10"/>
      <c r="F21" s="10"/>
      <c r="G21" s="8"/>
      <c r="H21" s="10"/>
    </row>
    <row r="22" customFormat="false" ht="18" hidden="false" customHeight="true" outlineLevel="0" collapsed="false">
      <c r="A22" s="8"/>
      <c r="B22" s="9"/>
      <c r="C22" s="10"/>
      <c r="D22" s="10"/>
      <c r="E22" s="10"/>
      <c r="F22" s="10"/>
      <c r="G22" s="8"/>
      <c r="H22" s="10"/>
    </row>
    <row r="23" customFormat="false" ht="18" hidden="false" customHeight="true" outlineLevel="0" collapsed="false">
      <c r="A23" s="8"/>
      <c r="B23" s="9"/>
      <c r="C23" s="10"/>
      <c r="D23" s="10"/>
      <c r="E23" s="10"/>
      <c r="F23" s="10"/>
      <c r="G23" s="8"/>
      <c r="H23" s="10"/>
    </row>
    <row r="24" customFormat="false" ht="18" hidden="false" customHeight="true" outlineLevel="0" collapsed="false">
      <c r="A24" s="8"/>
      <c r="B24" s="9"/>
      <c r="C24" s="10"/>
      <c r="D24" s="10"/>
      <c r="E24" s="10"/>
      <c r="F24" s="10"/>
      <c r="G24" s="8"/>
      <c r="H24" s="10"/>
    </row>
    <row r="25" customFormat="false" ht="18" hidden="false" customHeight="true" outlineLevel="0" collapsed="false">
      <c r="A25" s="8"/>
      <c r="B25" s="9"/>
      <c r="C25" s="10"/>
      <c r="D25" s="10"/>
      <c r="E25" s="10"/>
      <c r="F25" s="10"/>
      <c r="G25" s="8"/>
      <c r="H25" s="10"/>
    </row>
    <row r="26" customFormat="false" ht="18" hidden="false" customHeight="true" outlineLevel="0" collapsed="false">
      <c r="A26" s="8"/>
      <c r="B26" s="9"/>
      <c r="C26" s="10"/>
      <c r="D26" s="10"/>
      <c r="E26" s="10"/>
      <c r="F26" s="10"/>
      <c r="G26" s="8"/>
      <c r="H26" s="10"/>
    </row>
    <row r="27" customFormat="false" ht="18" hidden="false" customHeight="true" outlineLevel="0" collapsed="false">
      <c r="A27" s="8"/>
      <c r="B27" s="9"/>
      <c r="C27" s="10"/>
      <c r="D27" s="10"/>
      <c r="E27" s="10"/>
      <c r="F27" s="10"/>
      <c r="G27" s="8"/>
      <c r="H27" s="10"/>
    </row>
    <row r="28" customFormat="false" ht="18" hidden="false" customHeight="true" outlineLevel="0" collapsed="false">
      <c r="A28" s="8"/>
      <c r="B28" s="9"/>
      <c r="C28" s="10"/>
      <c r="D28" s="10"/>
      <c r="E28" s="10"/>
      <c r="F28" s="10"/>
      <c r="G28" s="8"/>
      <c r="H28" s="10"/>
    </row>
    <row r="29" customFormat="false" ht="18" hidden="false" customHeight="true" outlineLevel="0" collapsed="false">
      <c r="A29" s="8"/>
      <c r="B29" s="9"/>
      <c r="C29" s="10"/>
      <c r="D29" s="10"/>
      <c r="E29" s="10"/>
      <c r="F29" s="10"/>
      <c r="G29" s="8"/>
      <c r="H29" s="10"/>
    </row>
    <row r="30" customFormat="false" ht="18" hidden="false" customHeight="true" outlineLevel="0" collapsed="false">
      <c r="A30" s="8"/>
      <c r="B30" s="9"/>
      <c r="C30" s="10"/>
      <c r="D30" s="10"/>
      <c r="E30" s="10"/>
      <c r="F30" s="10"/>
      <c r="G30" s="8"/>
      <c r="H30" s="10"/>
    </row>
    <row r="31" customFormat="false" ht="18" hidden="false" customHeight="true" outlineLevel="0" collapsed="false">
      <c r="A31" s="8"/>
      <c r="B31" s="9"/>
      <c r="C31" s="10"/>
      <c r="D31" s="10"/>
      <c r="E31" s="10"/>
      <c r="F31" s="10"/>
      <c r="G31" s="8"/>
      <c r="H31" s="10"/>
    </row>
    <row r="32" customFormat="false" ht="18" hidden="false" customHeight="true" outlineLevel="0" collapsed="false">
      <c r="A32" s="8"/>
      <c r="B32" s="9"/>
      <c r="C32" s="10"/>
      <c r="D32" s="10"/>
      <c r="E32" s="10"/>
      <c r="F32" s="10"/>
      <c r="G32" s="8"/>
      <c r="H32" s="10"/>
    </row>
    <row r="33" customFormat="false" ht="18" hidden="false" customHeight="true" outlineLevel="0" collapsed="false">
      <c r="A33" s="8"/>
      <c r="B33" s="9"/>
      <c r="C33" s="10"/>
      <c r="D33" s="10"/>
      <c r="E33" s="10"/>
      <c r="F33" s="10"/>
      <c r="G33" s="8"/>
      <c r="H33" s="10"/>
    </row>
    <row r="34" customFormat="false" ht="18" hidden="false" customHeight="true" outlineLevel="0" collapsed="false">
      <c r="A34" s="8"/>
      <c r="B34" s="9"/>
      <c r="C34" s="10"/>
      <c r="D34" s="10"/>
      <c r="E34" s="10"/>
      <c r="F34" s="10"/>
      <c r="G34" s="8"/>
      <c r="H34" s="10"/>
    </row>
    <row r="35" customFormat="false" ht="18" hidden="false" customHeight="true" outlineLevel="0" collapsed="false">
      <c r="A35" s="8"/>
      <c r="B35" s="9"/>
      <c r="C35" s="10"/>
      <c r="D35" s="10"/>
      <c r="E35" s="10"/>
      <c r="F35" s="10"/>
      <c r="G35" s="8"/>
      <c r="H35" s="10"/>
    </row>
    <row r="36" customFormat="false" ht="18" hidden="false" customHeight="true" outlineLevel="0" collapsed="false">
      <c r="A36" s="8"/>
      <c r="B36" s="9"/>
      <c r="C36" s="10"/>
      <c r="D36" s="10"/>
      <c r="E36" s="10"/>
      <c r="F36" s="10"/>
      <c r="G36" s="8"/>
      <c r="H36" s="10"/>
    </row>
    <row r="37" customFormat="false" ht="18" hidden="false" customHeight="true" outlineLevel="0" collapsed="false">
      <c r="A37" s="8"/>
      <c r="B37" s="9"/>
      <c r="C37" s="10"/>
      <c r="D37" s="10"/>
      <c r="E37" s="10"/>
      <c r="F37" s="10"/>
      <c r="G37" s="8"/>
      <c r="H37" s="10"/>
    </row>
    <row r="38" customFormat="false" ht="18" hidden="false" customHeight="true" outlineLevel="0" collapsed="false">
      <c r="A38" s="8"/>
      <c r="B38" s="9"/>
      <c r="C38" s="10"/>
      <c r="D38" s="10"/>
      <c r="E38" s="10"/>
      <c r="F38" s="10"/>
      <c r="G38" s="8"/>
      <c r="H38" s="10"/>
    </row>
    <row r="39" customFormat="false" ht="18" hidden="false" customHeight="true" outlineLevel="0" collapsed="false">
      <c r="A39" s="8"/>
      <c r="B39" s="9"/>
      <c r="C39" s="10"/>
      <c r="D39" s="10"/>
      <c r="E39" s="10"/>
      <c r="F39" s="10"/>
      <c r="G39" s="8"/>
      <c r="H39" s="10"/>
    </row>
    <row r="40" customFormat="false" ht="18" hidden="false" customHeight="true" outlineLevel="0" collapsed="false">
      <c r="A40" s="8"/>
      <c r="B40" s="9"/>
      <c r="C40" s="10"/>
      <c r="D40" s="10"/>
      <c r="E40" s="10"/>
      <c r="F40" s="10"/>
      <c r="G40" s="8"/>
      <c r="H40" s="10"/>
    </row>
    <row r="41" customFormat="false" ht="18" hidden="false" customHeight="true" outlineLevel="0" collapsed="false">
      <c r="A41" s="8"/>
      <c r="B41" s="9"/>
      <c r="C41" s="10"/>
      <c r="D41" s="10"/>
      <c r="E41" s="10"/>
      <c r="F41" s="10"/>
      <c r="G41" s="8"/>
      <c r="H41" s="10"/>
    </row>
    <row r="42" customFormat="false" ht="18" hidden="false" customHeight="true" outlineLevel="0" collapsed="false">
      <c r="A42" s="8"/>
      <c r="B42" s="9"/>
      <c r="C42" s="10"/>
      <c r="D42" s="10"/>
      <c r="E42" s="10"/>
      <c r="F42" s="10"/>
      <c r="G42" s="8"/>
      <c r="H42" s="10"/>
    </row>
    <row r="43" customFormat="false" ht="18" hidden="false" customHeight="true" outlineLevel="0" collapsed="false">
      <c r="A43" s="8"/>
      <c r="B43" s="9"/>
      <c r="C43" s="10"/>
      <c r="D43" s="10"/>
      <c r="E43" s="10"/>
      <c r="F43" s="10"/>
      <c r="G43" s="8"/>
      <c r="H43" s="10"/>
    </row>
    <row r="44" customFormat="false" ht="18" hidden="false" customHeight="true" outlineLevel="0" collapsed="false">
      <c r="A44" s="8"/>
      <c r="B44" s="9"/>
      <c r="C44" s="10"/>
      <c r="D44" s="10"/>
      <c r="E44" s="10"/>
      <c r="F44" s="10"/>
      <c r="G44" s="8"/>
      <c r="H44" s="10"/>
    </row>
    <row r="45" customFormat="false" ht="18" hidden="false" customHeight="true" outlineLevel="0" collapsed="false">
      <c r="A45" s="8"/>
      <c r="B45" s="9"/>
      <c r="C45" s="10"/>
      <c r="D45" s="10"/>
      <c r="E45" s="10"/>
      <c r="F45" s="10"/>
      <c r="G45" s="8"/>
      <c r="H45" s="10"/>
    </row>
  </sheetData>
  <mergeCells count="3">
    <mergeCell ref="A1:H1"/>
    <mergeCell ref="A2:H2"/>
    <mergeCell ref="A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C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.5"/>
    <col collapsed="false" customWidth="true" hidden="false" outlineLevel="0" max="2" min="2" style="0" width="16"/>
    <col collapsed="false" customWidth="true" hidden="false" outlineLevel="0" max="27" min="3" style="0" width="4"/>
    <col collapsed="false" customWidth="true" hidden="false" outlineLevel="0" max="28" min="28" style="0" width="9"/>
    <col collapsed="false" customWidth="true" hidden="false" outlineLevel="0" max="29" min="29" style="0" width="13"/>
  </cols>
  <sheetData>
    <row r="1" customFormat="false" ht="13.5" hidden="false" customHeight="true" outlineLevel="0" collapsed="false">
      <c r="A1" s="11" t="str">
        <f aca="false">Bilgiler!B4&amp;" • "&amp;Bilgiler!B5&amp;" EĞİTİM ÖĞRETİM YILI"</f>
        <v> •  EĞİTİM ÖĞRETİM YILI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</row>
    <row r="2" customFormat="false" ht="13.5" hidden="false" customHeight="true" outlineLevel="0" collapsed="false">
      <c r="A2" s="11" t="str">
        <f aca="false">Bilgiler!B6&amp;" SINIFI "&amp;Bilgiler!B7&amp;" "&amp;Bilgiler!B8&amp;" DERSİ KAZANIM DEĞERLENDİRME ÖLÇEĞİ"</f>
        <v> SINIFI  Beden Eğitimi ve Oyun DERSİ KAZANIM DEĞERLENDİRME ÖLÇEĞİ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</row>
    <row r="4" customFormat="false" ht="129.75" hidden="false" customHeight="true" outlineLevel="0" collapsed="false">
      <c r="A4" s="12" t="s">
        <v>13</v>
      </c>
      <c r="B4" s="12" t="s">
        <v>21</v>
      </c>
      <c r="C4" s="13" t="s">
        <v>22</v>
      </c>
      <c r="D4" s="13" t="s">
        <v>23</v>
      </c>
      <c r="E4" s="13" t="s">
        <v>24</v>
      </c>
      <c r="F4" s="13" t="s">
        <v>25</v>
      </c>
      <c r="G4" s="13" t="s">
        <v>26</v>
      </c>
      <c r="H4" s="13" t="s">
        <v>27</v>
      </c>
      <c r="I4" s="13" t="s">
        <v>28</v>
      </c>
      <c r="J4" s="13" t="s">
        <v>29</v>
      </c>
      <c r="K4" s="13" t="s">
        <v>30</v>
      </c>
      <c r="L4" s="13" t="s">
        <v>31</v>
      </c>
      <c r="M4" s="13" t="s">
        <v>32</v>
      </c>
      <c r="N4" s="13" t="s">
        <v>33</v>
      </c>
      <c r="O4" s="13" t="s">
        <v>34</v>
      </c>
      <c r="P4" s="13" t="s">
        <v>35</v>
      </c>
      <c r="Q4" s="13" t="s">
        <v>36</v>
      </c>
      <c r="R4" s="13" t="s">
        <v>37</v>
      </c>
      <c r="S4" s="13" t="s">
        <v>38</v>
      </c>
      <c r="T4" s="13" t="s">
        <v>39</v>
      </c>
      <c r="U4" s="13" t="s">
        <v>40</v>
      </c>
      <c r="V4" s="13" t="s">
        <v>41</v>
      </c>
      <c r="W4" s="13" t="s">
        <v>42</v>
      </c>
      <c r="X4" s="13" t="s">
        <v>43</v>
      </c>
      <c r="Y4" s="13" t="s">
        <v>44</v>
      </c>
      <c r="Z4" s="13" t="s">
        <v>45</v>
      </c>
      <c r="AA4" s="13" t="s">
        <v>46</v>
      </c>
      <c r="AB4" s="12" t="s">
        <v>47</v>
      </c>
      <c r="AC4" s="12" t="s">
        <v>48</v>
      </c>
    </row>
    <row r="5" customFormat="false" ht="9" hidden="false" customHeight="true" outlineLevel="0" collapsed="false">
      <c r="A5" s="14" t="str">
        <f aca="false">IFERROR(IF('Öğrenci Listesi'!A6="","",'Öğrenci Listesi'!A6),"")</f>
        <v/>
      </c>
      <c r="B5" s="15" t="str">
        <f aca="false">IFERROR(IF('Öğrenci Listesi'!B6="","",'Öğrenci Listesi'!B6),"")</f>
        <v/>
      </c>
      <c r="C5" s="16" t="str">
        <f aca="false"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D5" s="16" t="str">
        <f aca="false"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E5" s="16" t="str">
        <f aca="false"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F5" s="16" t="str">
        <f aca="false"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G5" s="16" t="str">
        <f aca="false"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H5" s="16" t="str">
        <f aca="false"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I5" s="16" t="str">
        <f aca="false"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J5" s="16" t="str">
        <f aca="false"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K5" s="16" t="str">
        <f aca="false"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L5" s="16" t="str">
        <f aca="false"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M5" s="16" t="str">
        <f aca="false"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N5" s="16" t="str">
        <f aca="false"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O5" s="16" t="str">
        <f aca="false"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P5" s="16" t="str">
        <f aca="false"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Q5" s="16" t="str">
        <f aca="false"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R5" s="16" t="str">
        <f aca="false"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S5" s="16" t="str">
        <f aca="false"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T5" s="16" t="str">
        <f aca="false"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U5" s="16" t="str">
        <f aca="false"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V5" s="16" t="str">
        <f aca="false"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W5" s="16" t="str">
        <f aca="false"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X5" s="16" t="str">
        <f aca="false"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Y5" s="16" t="str">
        <f aca="false"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Z5" s="16" t="str">
        <f aca="false"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AA5" s="16" t="str">
        <f aca="false"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AB5" s="17" t="str">
        <f aca="false">IF(OR('Öğrenci Listesi'!B6="",AC5=""),"",ROUND(AVERAGE(C5:AA5),2))</f>
        <v/>
      </c>
      <c r="AC5" s="18" t="str">
        <f aca="false">IFERROR(IF('Öğrenci Listesi'!G6="","",IF(UPPER(TRIM('Öğrenci Listesi'!G6))="ÇOK İYİ","Çok İyi",IF(UPPER(TRIM('Öğrenci Listesi'!G6))="İYİ","İyi",IF(UPPER(TRIM('Öğrenci Listesi'!G6))="YETERLİ","Yeterli",IF(UPPER(TRIM('Öğrenci Listesi'!G6))="GELİŞTİRİLMELİ","Geliştirilmeli",'Öğrenci Listesi'!G6))))),"")</f>
        <v/>
      </c>
    </row>
    <row r="6" customFormat="false" ht="9" hidden="false" customHeight="true" outlineLevel="0" collapsed="false">
      <c r="A6" s="14" t="str">
        <f aca="false">IFERROR(IF('Öğrenci Listesi'!A7="","",'Öğrenci Listesi'!A7),"")</f>
        <v/>
      </c>
      <c r="B6" s="15" t="str">
        <f aca="false">IFERROR(IF('Öğrenci Listesi'!B7="","",'Öğrenci Listesi'!B7),"")</f>
        <v/>
      </c>
      <c r="C6" s="16" t="str">
        <f aca="false"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D6" s="16" t="str">
        <f aca="false"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E6" s="16" t="str">
        <f aca="false"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F6" s="16" t="str">
        <f aca="false"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G6" s="16" t="str">
        <f aca="false"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H6" s="16" t="str">
        <f aca="false"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I6" s="16" t="str">
        <f aca="false"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J6" s="16" t="str">
        <f aca="false"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K6" s="16" t="str">
        <f aca="false"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L6" s="16" t="str">
        <f aca="false"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M6" s="16" t="str">
        <f aca="false"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N6" s="16" t="str">
        <f aca="false"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O6" s="16" t="str">
        <f aca="false"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P6" s="16" t="str">
        <f aca="false"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Q6" s="16" t="str">
        <f aca="false"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R6" s="16" t="str">
        <f aca="false"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S6" s="16" t="str">
        <f aca="false"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T6" s="16" t="str">
        <f aca="false"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U6" s="16" t="str">
        <f aca="false"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V6" s="16" t="str">
        <f aca="false"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W6" s="16" t="str">
        <f aca="false"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X6" s="16" t="str">
        <f aca="false"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Y6" s="16" t="str">
        <f aca="false"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Z6" s="16" t="str">
        <f aca="false"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AA6" s="16" t="str">
        <f aca="false"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AB6" s="17" t="str">
        <f aca="false">IF(OR('Öğrenci Listesi'!B7="",AC6=""),"",ROUND(AVERAGE(C6:AA6),2))</f>
        <v/>
      </c>
      <c r="AC6" s="18" t="str">
        <f aca="false">IFERROR(IF('Öğrenci Listesi'!G7="","",IF(UPPER(TRIM('Öğrenci Listesi'!G7))="ÇOK İYİ","Çok İyi",IF(UPPER(TRIM('Öğrenci Listesi'!G7))="İYİ","İyi",IF(UPPER(TRIM('Öğrenci Listesi'!G7))="YETERLİ","Yeterli",IF(UPPER(TRIM('Öğrenci Listesi'!G7))="GELİŞTİRİLMELİ","Geliştirilmeli",'Öğrenci Listesi'!G7))))),"")</f>
        <v/>
      </c>
    </row>
    <row r="7" customFormat="false" ht="9" hidden="false" customHeight="true" outlineLevel="0" collapsed="false">
      <c r="A7" s="14" t="str">
        <f aca="false">IFERROR(IF('Öğrenci Listesi'!A8="","",'Öğrenci Listesi'!A8),"")</f>
        <v/>
      </c>
      <c r="B7" s="15" t="str">
        <f aca="false">IFERROR(IF('Öğrenci Listesi'!B8="","",'Öğrenci Listesi'!B8),"")</f>
        <v/>
      </c>
      <c r="C7" s="16" t="str">
        <f aca="false"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D7" s="16" t="str">
        <f aca="false"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E7" s="16" t="str">
        <f aca="false"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F7" s="16" t="str">
        <f aca="false"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G7" s="16" t="str">
        <f aca="false"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H7" s="16" t="str">
        <f aca="false"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I7" s="16" t="str">
        <f aca="false"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J7" s="16" t="str">
        <f aca="false"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K7" s="16" t="str">
        <f aca="false"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L7" s="16" t="str">
        <f aca="false"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M7" s="16" t="str">
        <f aca="false"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N7" s="16" t="str">
        <f aca="false"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O7" s="16" t="str">
        <f aca="false"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P7" s="16" t="str">
        <f aca="false"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Q7" s="16" t="str">
        <f aca="false"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R7" s="16" t="str">
        <f aca="false"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S7" s="16" t="str">
        <f aca="false"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T7" s="16" t="str">
        <f aca="false"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U7" s="16" t="str">
        <f aca="false"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V7" s="16" t="str">
        <f aca="false"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W7" s="16" t="str">
        <f aca="false"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X7" s="16" t="str">
        <f aca="false"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Y7" s="16" t="str">
        <f aca="false"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Z7" s="16" t="str">
        <f aca="false"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AA7" s="16" t="str">
        <f aca="false"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AB7" s="17" t="str">
        <f aca="false">IF(OR('Öğrenci Listesi'!B8="",AC7=""),"",ROUND(AVERAGE(C7:AA7),2))</f>
        <v/>
      </c>
      <c r="AC7" s="18" t="str">
        <f aca="false">IFERROR(IF('Öğrenci Listesi'!G8="","",IF(UPPER(TRIM('Öğrenci Listesi'!G8))="ÇOK İYİ","Çok İyi",IF(UPPER(TRIM('Öğrenci Listesi'!G8))="İYİ","İyi",IF(UPPER(TRIM('Öğrenci Listesi'!G8))="YETERLİ","Yeterli",IF(UPPER(TRIM('Öğrenci Listesi'!G8))="GELİŞTİRİLMELİ","Geliştirilmeli",'Öğrenci Listesi'!G8))))),"")</f>
        <v/>
      </c>
    </row>
    <row r="8" customFormat="false" ht="9" hidden="false" customHeight="true" outlineLevel="0" collapsed="false">
      <c r="A8" s="14" t="str">
        <f aca="false">IFERROR(IF('Öğrenci Listesi'!A9="","",'Öğrenci Listesi'!A9),"")</f>
        <v/>
      </c>
      <c r="B8" s="15" t="str">
        <f aca="false">IFERROR(IF('Öğrenci Listesi'!B9="","",'Öğrenci Listesi'!B9),"")</f>
        <v/>
      </c>
      <c r="C8" s="16" t="str">
        <f aca="false"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D8" s="16" t="str">
        <f aca="false"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E8" s="16" t="str">
        <f aca="false"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F8" s="16" t="str">
        <f aca="false"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G8" s="16" t="str">
        <f aca="false"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H8" s="16" t="str">
        <f aca="false"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I8" s="16" t="str">
        <f aca="false"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J8" s="16" t="str">
        <f aca="false"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K8" s="16" t="str">
        <f aca="false"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L8" s="16" t="str">
        <f aca="false"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M8" s="16" t="str">
        <f aca="false"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N8" s="16" t="str">
        <f aca="false"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O8" s="16" t="str">
        <f aca="false"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P8" s="16" t="str">
        <f aca="false"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Q8" s="16" t="str">
        <f aca="false"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R8" s="16" t="str">
        <f aca="false"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S8" s="16" t="str">
        <f aca="false"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T8" s="16" t="str">
        <f aca="false"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U8" s="16" t="str">
        <f aca="false"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V8" s="16" t="str">
        <f aca="false"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W8" s="16" t="str">
        <f aca="false"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X8" s="16" t="str">
        <f aca="false"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Y8" s="16" t="str">
        <f aca="false"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Z8" s="16" t="str">
        <f aca="false"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AA8" s="16" t="str">
        <f aca="false"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AB8" s="17" t="str">
        <f aca="false">IF(OR('Öğrenci Listesi'!B9="",AC8=""),"",ROUND(AVERAGE(C8:AA8),2))</f>
        <v/>
      </c>
      <c r="AC8" s="18" t="str">
        <f aca="false">IFERROR(IF('Öğrenci Listesi'!G9="","",IF(UPPER(TRIM('Öğrenci Listesi'!G9))="ÇOK İYİ","Çok İyi",IF(UPPER(TRIM('Öğrenci Listesi'!G9))="İYİ","İyi",IF(UPPER(TRIM('Öğrenci Listesi'!G9))="YETERLİ","Yeterli",IF(UPPER(TRIM('Öğrenci Listesi'!G9))="GELİŞTİRİLMELİ","Geliştirilmeli",'Öğrenci Listesi'!G9))))),"")</f>
        <v/>
      </c>
    </row>
    <row r="9" customFormat="false" ht="9" hidden="false" customHeight="true" outlineLevel="0" collapsed="false">
      <c r="A9" s="14" t="str">
        <f aca="false">IFERROR(IF('Öğrenci Listesi'!A10="","",'Öğrenci Listesi'!A10),"")</f>
        <v/>
      </c>
      <c r="B9" s="15" t="str">
        <f aca="false">IFERROR(IF('Öğrenci Listesi'!B10="","",'Öğrenci Listesi'!B10),"")</f>
        <v/>
      </c>
      <c r="C9" s="16" t="str">
        <f aca="false"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D9" s="16" t="str">
        <f aca="false"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E9" s="16" t="str">
        <f aca="false"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F9" s="16" t="str">
        <f aca="false"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G9" s="16" t="str">
        <f aca="false"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H9" s="16" t="str">
        <f aca="false"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I9" s="16" t="str">
        <f aca="false"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J9" s="16" t="str">
        <f aca="false"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K9" s="16" t="str">
        <f aca="false"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L9" s="16" t="str">
        <f aca="false"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M9" s="16" t="str">
        <f aca="false"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N9" s="16" t="str">
        <f aca="false"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O9" s="16" t="str">
        <f aca="false"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P9" s="16" t="str">
        <f aca="false"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Q9" s="16" t="str">
        <f aca="false"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R9" s="16" t="str">
        <f aca="false"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S9" s="16" t="str">
        <f aca="false"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T9" s="16" t="str">
        <f aca="false"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U9" s="16" t="str">
        <f aca="false"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V9" s="16" t="str">
        <f aca="false"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W9" s="16" t="str">
        <f aca="false"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X9" s="16" t="str">
        <f aca="false"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Y9" s="16" t="str">
        <f aca="false"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Z9" s="16" t="str">
        <f aca="false"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AA9" s="16" t="str">
        <f aca="false"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AB9" s="17" t="str">
        <f aca="false">IF(OR('Öğrenci Listesi'!B10="",AC9=""),"",ROUND(AVERAGE(C9:AA9),2))</f>
        <v/>
      </c>
      <c r="AC9" s="18" t="str">
        <f aca="false">IFERROR(IF('Öğrenci Listesi'!G10="","",IF(UPPER(TRIM('Öğrenci Listesi'!G10))="ÇOK İYİ","Çok İyi",IF(UPPER(TRIM('Öğrenci Listesi'!G10))="İYİ","İyi",IF(UPPER(TRIM('Öğrenci Listesi'!G10))="YETERLİ","Yeterli",IF(UPPER(TRIM('Öğrenci Listesi'!G10))="GELİŞTİRİLMELİ","Geliştirilmeli",'Öğrenci Listesi'!G10))))),"")</f>
        <v/>
      </c>
    </row>
    <row r="10" customFormat="false" ht="9" hidden="false" customHeight="true" outlineLevel="0" collapsed="false">
      <c r="A10" s="14" t="str">
        <f aca="false">IFERROR(IF('Öğrenci Listesi'!A11="","",'Öğrenci Listesi'!A11),"")</f>
        <v/>
      </c>
      <c r="B10" s="15" t="str">
        <f aca="false">IFERROR(IF('Öğrenci Listesi'!B11="","",'Öğrenci Listesi'!B11),"")</f>
        <v/>
      </c>
      <c r="C10" s="16" t="str">
        <f aca="false"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D10" s="16" t="str">
        <f aca="false"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E10" s="16" t="str">
        <f aca="false"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F10" s="16" t="str">
        <f aca="false"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G10" s="16" t="str">
        <f aca="false"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H10" s="16" t="str">
        <f aca="false"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I10" s="16" t="str">
        <f aca="false"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J10" s="16" t="str">
        <f aca="false"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K10" s="16" t="str">
        <f aca="false"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L10" s="16" t="str">
        <f aca="false"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M10" s="16" t="str">
        <f aca="false"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N10" s="16" t="str">
        <f aca="false"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O10" s="16" t="str">
        <f aca="false"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P10" s="16" t="str">
        <f aca="false"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Q10" s="16" t="str">
        <f aca="false"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R10" s="16" t="str">
        <f aca="false"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S10" s="16" t="str">
        <f aca="false"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T10" s="16" t="str">
        <f aca="false"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U10" s="16" t="str">
        <f aca="false"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V10" s="16" t="str">
        <f aca="false"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W10" s="16" t="str">
        <f aca="false"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X10" s="16" t="str">
        <f aca="false"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Y10" s="16" t="str">
        <f aca="false"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Z10" s="16" t="str">
        <f aca="false"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AA10" s="16" t="str">
        <f aca="false"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AB10" s="17" t="str">
        <f aca="false">IF(OR('Öğrenci Listesi'!B11="",AC10=""),"",ROUND(AVERAGE(C10:AA10),2))</f>
        <v/>
      </c>
      <c r="AC10" s="18" t="str">
        <f aca="false">IFERROR(IF('Öğrenci Listesi'!G11="","",IF(UPPER(TRIM('Öğrenci Listesi'!G11))="ÇOK İYİ","Çok İyi",IF(UPPER(TRIM('Öğrenci Listesi'!G11))="İYİ","İyi",IF(UPPER(TRIM('Öğrenci Listesi'!G11))="YETERLİ","Yeterli",IF(UPPER(TRIM('Öğrenci Listesi'!G11))="GELİŞTİRİLMELİ","Geliştirilmeli",'Öğrenci Listesi'!G11))))),"")</f>
        <v/>
      </c>
    </row>
    <row r="11" customFormat="false" ht="9" hidden="false" customHeight="true" outlineLevel="0" collapsed="false">
      <c r="A11" s="14" t="str">
        <f aca="false">IFERROR(IF('Öğrenci Listesi'!A12="","",'Öğrenci Listesi'!A12),"")</f>
        <v/>
      </c>
      <c r="B11" s="15" t="str">
        <f aca="false">IFERROR(IF('Öğrenci Listesi'!B12="","",'Öğrenci Listesi'!B12),"")</f>
        <v/>
      </c>
      <c r="C11" s="16" t="str">
        <f aca="false"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D11" s="16" t="str">
        <f aca="false"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E11" s="16" t="str">
        <f aca="false"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F11" s="16" t="str">
        <f aca="false"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G11" s="16" t="str">
        <f aca="false"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H11" s="16" t="str">
        <f aca="false"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I11" s="16" t="str">
        <f aca="false"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J11" s="16" t="str">
        <f aca="false"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K11" s="16" t="str">
        <f aca="false"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L11" s="16" t="str">
        <f aca="false"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M11" s="16" t="str">
        <f aca="false"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N11" s="16" t="str">
        <f aca="false"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O11" s="16" t="str">
        <f aca="false"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P11" s="16" t="str">
        <f aca="false"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Q11" s="16" t="str">
        <f aca="false"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R11" s="16" t="str">
        <f aca="false"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S11" s="16" t="str">
        <f aca="false"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T11" s="16" t="str">
        <f aca="false"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U11" s="16" t="str">
        <f aca="false"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V11" s="16" t="str">
        <f aca="false"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W11" s="16" t="str">
        <f aca="false"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X11" s="16" t="str">
        <f aca="false"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Y11" s="16" t="str">
        <f aca="false"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Z11" s="16" t="str">
        <f aca="false"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AA11" s="16" t="str">
        <f aca="false"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AB11" s="17" t="str">
        <f aca="false">IF(OR('Öğrenci Listesi'!B12="",AC11=""),"",ROUND(AVERAGE(C11:AA11),2))</f>
        <v/>
      </c>
      <c r="AC11" s="18" t="str">
        <f aca="false">IFERROR(IF('Öğrenci Listesi'!G12="","",IF(UPPER(TRIM('Öğrenci Listesi'!G12))="ÇOK İYİ","Çok İyi",IF(UPPER(TRIM('Öğrenci Listesi'!G12))="İYİ","İyi",IF(UPPER(TRIM('Öğrenci Listesi'!G12))="YETERLİ","Yeterli",IF(UPPER(TRIM('Öğrenci Listesi'!G12))="GELİŞTİRİLMELİ","Geliştirilmeli",'Öğrenci Listesi'!G12))))),"")</f>
        <v/>
      </c>
    </row>
    <row r="12" customFormat="false" ht="9" hidden="false" customHeight="true" outlineLevel="0" collapsed="false">
      <c r="A12" s="14" t="str">
        <f aca="false">IFERROR(IF('Öğrenci Listesi'!A13="","",'Öğrenci Listesi'!A13),"")</f>
        <v/>
      </c>
      <c r="B12" s="15" t="str">
        <f aca="false">IFERROR(IF('Öğrenci Listesi'!B13="","",'Öğrenci Listesi'!B13),"")</f>
        <v/>
      </c>
      <c r="C12" s="16" t="str">
        <f aca="false"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D12" s="16" t="str">
        <f aca="false"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E12" s="16" t="str">
        <f aca="false"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F12" s="16" t="str">
        <f aca="false"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G12" s="16" t="str">
        <f aca="false"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H12" s="16" t="str">
        <f aca="false"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I12" s="16" t="str">
        <f aca="false"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J12" s="16" t="str">
        <f aca="false"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K12" s="16" t="str">
        <f aca="false"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L12" s="16" t="str">
        <f aca="false"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M12" s="16" t="str">
        <f aca="false"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N12" s="16" t="str">
        <f aca="false"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O12" s="16" t="str">
        <f aca="false"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P12" s="16" t="str">
        <f aca="false"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Q12" s="16" t="str">
        <f aca="false"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R12" s="16" t="str">
        <f aca="false"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S12" s="16" t="str">
        <f aca="false"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T12" s="16" t="str">
        <f aca="false"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U12" s="16" t="str">
        <f aca="false"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V12" s="16" t="str">
        <f aca="false"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W12" s="16" t="str">
        <f aca="false"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X12" s="16" t="str">
        <f aca="false"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Y12" s="16" t="str">
        <f aca="false"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Z12" s="16" t="str">
        <f aca="false"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AA12" s="16" t="str">
        <f aca="false"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AB12" s="17" t="str">
        <f aca="false">IF(OR('Öğrenci Listesi'!B13="",AC12=""),"",ROUND(AVERAGE(C12:AA12),2))</f>
        <v/>
      </c>
      <c r="AC12" s="18" t="str">
        <f aca="false">IFERROR(IF('Öğrenci Listesi'!G13="","",IF(UPPER(TRIM('Öğrenci Listesi'!G13))="ÇOK İYİ","Çok İyi",IF(UPPER(TRIM('Öğrenci Listesi'!G13))="İYİ","İyi",IF(UPPER(TRIM('Öğrenci Listesi'!G13))="YETERLİ","Yeterli",IF(UPPER(TRIM('Öğrenci Listesi'!G13))="GELİŞTİRİLMELİ","Geliştirilmeli",'Öğrenci Listesi'!G13))))),"")</f>
        <v/>
      </c>
    </row>
    <row r="13" customFormat="false" ht="9" hidden="false" customHeight="true" outlineLevel="0" collapsed="false">
      <c r="A13" s="14" t="str">
        <f aca="false">IFERROR(IF('Öğrenci Listesi'!A14="","",'Öğrenci Listesi'!A14),"")</f>
        <v/>
      </c>
      <c r="B13" s="15" t="str">
        <f aca="false">IFERROR(IF('Öğrenci Listesi'!B14="","",'Öğrenci Listesi'!B14),"")</f>
        <v/>
      </c>
      <c r="C13" s="16" t="str">
        <f aca="false"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D13" s="16" t="str">
        <f aca="false"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E13" s="16" t="str">
        <f aca="false"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F13" s="16" t="str">
        <f aca="false"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G13" s="16" t="str">
        <f aca="false"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H13" s="16" t="str">
        <f aca="false"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I13" s="16" t="str">
        <f aca="false"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J13" s="16" t="str">
        <f aca="false"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K13" s="16" t="str">
        <f aca="false"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L13" s="16" t="str">
        <f aca="false"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M13" s="16" t="str">
        <f aca="false"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N13" s="16" t="str">
        <f aca="false"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O13" s="16" t="str">
        <f aca="false"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P13" s="16" t="str">
        <f aca="false"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Q13" s="16" t="str">
        <f aca="false"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R13" s="16" t="str">
        <f aca="false"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S13" s="16" t="str">
        <f aca="false"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T13" s="16" t="str">
        <f aca="false"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U13" s="16" t="str">
        <f aca="false"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V13" s="16" t="str">
        <f aca="false"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W13" s="16" t="str">
        <f aca="false"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X13" s="16" t="str">
        <f aca="false"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Y13" s="16" t="str">
        <f aca="false"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Z13" s="16" t="str">
        <f aca="false"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AA13" s="16" t="str">
        <f aca="false"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AB13" s="17" t="str">
        <f aca="false">IF(OR('Öğrenci Listesi'!B14="",AC13=""),"",ROUND(AVERAGE(C13:AA13),2))</f>
        <v/>
      </c>
      <c r="AC13" s="18" t="str">
        <f aca="false">IFERROR(IF('Öğrenci Listesi'!G14="","",IF(UPPER(TRIM('Öğrenci Listesi'!G14))="ÇOK İYİ","Çok İyi",IF(UPPER(TRIM('Öğrenci Listesi'!G14))="İYİ","İyi",IF(UPPER(TRIM('Öğrenci Listesi'!G14))="YETERLİ","Yeterli",IF(UPPER(TRIM('Öğrenci Listesi'!G14))="GELİŞTİRİLMELİ","Geliştirilmeli",'Öğrenci Listesi'!G14))))),"")</f>
        <v/>
      </c>
    </row>
    <row r="14" customFormat="false" ht="9" hidden="false" customHeight="true" outlineLevel="0" collapsed="false">
      <c r="A14" s="14" t="str">
        <f aca="false">IFERROR(IF('Öğrenci Listesi'!A15="","",'Öğrenci Listesi'!A15),"")</f>
        <v/>
      </c>
      <c r="B14" s="15" t="str">
        <f aca="false">IFERROR(IF('Öğrenci Listesi'!B15="","",'Öğrenci Listesi'!B15),"")</f>
        <v/>
      </c>
      <c r="C14" s="16" t="str">
        <f aca="false"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D14" s="16" t="str">
        <f aca="false"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E14" s="16" t="str">
        <f aca="false"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F14" s="16" t="str">
        <f aca="false"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G14" s="16" t="str">
        <f aca="false"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H14" s="16" t="str">
        <f aca="false"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I14" s="16" t="str">
        <f aca="false"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J14" s="16" t="str">
        <f aca="false"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K14" s="16" t="str">
        <f aca="false"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L14" s="16" t="str">
        <f aca="false"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M14" s="16" t="str">
        <f aca="false"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N14" s="16" t="str">
        <f aca="false"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O14" s="16" t="str">
        <f aca="false"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P14" s="16" t="str">
        <f aca="false"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Q14" s="16" t="str">
        <f aca="false"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R14" s="16" t="str">
        <f aca="false"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S14" s="16" t="str">
        <f aca="false"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T14" s="16" t="str">
        <f aca="false"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U14" s="16" t="str">
        <f aca="false"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V14" s="16" t="str">
        <f aca="false"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W14" s="16" t="str">
        <f aca="false"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X14" s="16" t="str">
        <f aca="false"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Y14" s="16" t="str">
        <f aca="false"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Z14" s="16" t="str">
        <f aca="false"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AA14" s="16" t="str">
        <f aca="false"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AB14" s="17" t="str">
        <f aca="false">IF(OR('Öğrenci Listesi'!B15="",AC14=""),"",ROUND(AVERAGE(C14:AA14),2))</f>
        <v/>
      </c>
      <c r="AC14" s="18" t="str">
        <f aca="false">IFERROR(IF('Öğrenci Listesi'!G15="","",IF(UPPER(TRIM('Öğrenci Listesi'!G15))="ÇOK İYİ","Çok İyi",IF(UPPER(TRIM('Öğrenci Listesi'!G15))="İYİ","İyi",IF(UPPER(TRIM('Öğrenci Listesi'!G15))="YETERLİ","Yeterli",IF(UPPER(TRIM('Öğrenci Listesi'!G15))="GELİŞTİRİLMELİ","Geliştirilmeli",'Öğrenci Listesi'!G15))))),"")</f>
        <v/>
      </c>
    </row>
    <row r="15" customFormat="false" ht="9" hidden="false" customHeight="true" outlineLevel="0" collapsed="false">
      <c r="A15" s="14" t="str">
        <f aca="false">IFERROR(IF('Öğrenci Listesi'!A16="","",'Öğrenci Listesi'!A16),"")</f>
        <v/>
      </c>
      <c r="B15" s="15" t="str">
        <f aca="false">IFERROR(IF('Öğrenci Listesi'!B16="","",'Öğrenci Listesi'!B16),"")</f>
        <v/>
      </c>
      <c r="C15" s="16" t="str">
        <f aca="false"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D15" s="16" t="str">
        <f aca="false"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E15" s="16" t="str">
        <f aca="false"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F15" s="16" t="str">
        <f aca="false"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G15" s="16" t="str">
        <f aca="false"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H15" s="16" t="str">
        <f aca="false"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I15" s="16" t="str">
        <f aca="false"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J15" s="16" t="str">
        <f aca="false"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K15" s="16" t="str">
        <f aca="false"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L15" s="16" t="str">
        <f aca="false"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M15" s="16" t="str">
        <f aca="false"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N15" s="16" t="str">
        <f aca="false"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O15" s="16" t="str">
        <f aca="false"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P15" s="16" t="str">
        <f aca="false"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Q15" s="16" t="str">
        <f aca="false"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R15" s="16" t="str">
        <f aca="false"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S15" s="16" t="str">
        <f aca="false"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T15" s="16" t="str">
        <f aca="false"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U15" s="16" t="str">
        <f aca="false"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V15" s="16" t="str">
        <f aca="false"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W15" s="16" t="str">
        <f aca="false"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X15" s="16" t="str">
        <f aca="false"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Y15" s="16" t="str">
        <f aca="false"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Z15" s="16" t="str">
        <f aca="false"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AA15" s="16" t="str">
        <f aca="false"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AB15" s="17" t="str">
        <f aca="false">IF(OR('Öğrenci Listesi'!B16="",AC15=""),"",ROUND(AVERAGE(C15:AA15),2))</f>
        <v/>
      </c>
      <c r="AC15" s="18" t="str">
        <f aca="false">IFERROR(IF('Öğrenci Listesi'!G16="","",IF(UPPER(TRIM('Öğrenci Listesi'!G16))="ÇOK İYİ","Çok İyi",IF(UPPER(TRIM('Öğrenci Listesi'!G16))="İYİ","İyi",IF(UPPER(TRIM('Öğrenci Listesi'!G16))="YETERLİ","Yeterli",IF(UPPER(TRIM('Öğrenci Listesi'!G16))="GELİŞTİRİLMELİ","Geliştirilmeli",'Öğrenci Listesi'!G16))))),"")</f>
        <v/>
      </c>
    </row>
    <row r="16" customFormat="false" ht="9" hidden="false" customHeight="true" outlineLevel="0" collapsed="false">
      <c r="A16" s="14" t="str">
        <f aca="false">IFERROR(IF('Öğrenci Listesi'!A17="","",'Öğrenci Listesi'!A17),"")</f>
        <v/>
      </c>
      <c r="B16" s="15" t="str">
        <f aca="false">IFERROR(IF('Öğrenci Listesi'!B17="","",'Öğrenci Listesi'!B17),"")</f>
        <v/>
      </c>
      <c r="C16" s="16" t="str">
        <f aca="false"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D16" s="16" t="str">
        <f aca="false"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E16" s="16" t="str">
        <f aca="false"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F16" s="16" t="str">
        <f aca="false"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G16" s="16" t="str">
        <f aca="false"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H16" s="16" t="str">
        <f aca="false"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I16" s="16" t="str">
        <f aca="false"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J16" s="16" t="str">
        <f aca="false"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K16" s="16" t="str">
        <f aca="false"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L16" s="16" t="str">
        <f aca="false"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M16" s="16" t="str">
        <f aca="false"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N16" s="16" t="str">
        <f aca="false"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O16" s="16" t="str">
        <f aca="false"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P16" s="16" t="str">
        <f aca="false"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Q16" s="16" t="str">
        <f aca="false"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R16" s="16" t="str">
        <f aca="false"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S16" s="16" t="str">
        <f aca="false"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T16" s="16" t="str">
        <f aca="false"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U16" s="16" t="str">
        <f aca="false"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V16" s="16" t="str">
        <f aca="false"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W16" s="16" t="str">
        <f aca="false"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X16" s="16" t="str">
        <f aca="false"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Y16" s="16" t="str">
        <f aca="false"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Z16" s="16" t="str">
        <f aca="false"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AA16" s="16" t="str">
        <f aca="false"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AB16" s="17" t="str">
        <f aca="false">IF(OR('Öğrenci Listesi'!B17="",AC16=""),"",ROUND(AVERAGE(C16:AA16),2))</f>
        <v/>
      </c>
      <c r="AC16" s="18" t="str">
        <f aca="false">IFERROR(IF('Öğrenci Listesi'!G17="","",IF(UPPER(TRIM('Öğrenci Listesi'!G17))="ÇOK İYİ","Çok İyi",IF(UPPER(TRIM('Öğrenci Listesi'!G17))="İYİ","İyi",IF(UPPER(TRIM('Öğrenci Listesi'!G17))="YETERLİ","Yeterli",IF(UPPER(TRIM('Öğrenci Listesi'!G17))="GELİŞTİRİLMELİ","Geliştirilmeli",'Öğrenci Listesi'!G17))))),"")</f>
        <v/>
      </c>
    </row>
    <row r="17" customFormat="false" ht="9" hidden="false" customHeight="true" outlineLevel="0" collapsed="false">
      <c r="A17" s="14" t="str">
        <f aca="false">IFERROR(IF('Öğrenci Listesi'!A18="","",'Öğrenci Listesi'!A18),"")</f>
        <v/>
      </c>
      <c r="B17" s="15" t="str">
        <f aca="false">IFERROR(IF('Öğrenci Listesi'!B18="","",'Öğrenci Listesi'!B18),"")</f>
        <v/>
      </c>
      <c r="C17" s="16" t="str">
        <f aca="false"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D17" s="16" t="str">
        <f aca="false"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E17" s="16" t="str">
        <f aca="false"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F17" s="16" t="str">
        <f aca="false"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G17" s="16" t="str">
        <f aca="false"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H17" s="16" t="str">
        <f aca="false"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I17" s="16" t="str">
        <f aca="false"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J17" s="16" t="str">
        <f aca="false"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K17" s="16" t="str">
        <f aca="false"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L17" s="16" t="str">
        <f aca="false"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M17" s="16" t="str">
        <f aca="false"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N17" s="16" t="str">
        <f aca="false"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O17" s="16" t="str">
        <f aca="false"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P17" s="16" t="str">
        <f aca="false"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Q17" s="16" t="str">
        <f aca="false"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R17" s="16" t="str">
        <f aca="false"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S17" s="16" t="str">
        <f aca="false"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T17" s="16" t="str">
        <f aca="false"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U17" s="16" t="str">
        <f aca="false"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V17" s="16" t="str">
        <f aca="false"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W17" s="16" t="str">
        <f aca="false"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X17" s="16" t="str">
        <f aca="false"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Y17" s="16" t="str">
        <f aca="false"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Z17" s="16" t="str">
        <f aca="false"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AA17" s="16" t="str">
        <f aca="false"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AB17" s="17" t="str">
        <f aca="false">IF(OR('Öğrenci Listesi'!B18="",AC17=""),"",ROUND(AVERAGE(C17:AA17),2))</f>
        <v/>
      </c>
      <c r="AC17" s="18" t="str">
        <f aca="false">IFERROR(IF('Öğrenci Listesi'!G18="","",IF(UPPER(TRIM('Öğrenci Listesi'!G18))="ÇOK İYİ","Çok İyi",IF(UPPER(TRIM('Öğrenci Listesi'!G18))="İYİ","İyi",IF(UPPER(TRIM('Öğrenci Listesi'!G18))="YETERLİ","Yeterli",IF(UPPER(TRIM('Öğrenci Listesi'!G18))="GELİŞTİRİLMELİ","Geliştirilmeli",'Öğrenci Listesi'!G18))))),"")</f>
        <v/>
      </c>
    </row>
    <row r="18" customFormat="false" ht="9" hidden="false" customHeight="true" outlineLevel="0" collapsed="false">
      <c r="A18" s="14" t="str">
        <f aca="false">IFERROR(IF('Öğrenci Listesi'!A19="","",'Öğrenci Listesi'!A19),"")</f>
        <v/>
      </c>
      <c r="B18" s="15" t="str">
        <f aca="false">IFERROR(IF('Öğrenci Listesi'!B19="","",'Öğrenci Listesi'!B19),"")</f>
        <v/>
      </c>
      <c r="C18" s="16" t="str">
        <f aca="false"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D18" s="16" t="str">
        <f aca="false"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E18" s="16" t="str">
        <f aca="false"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F18" s="16" t="str">
        <f aca="false"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G18" s="16" t="str">
        <f aca="false"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H18" s="16" t="str">
        <f aca="false"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I18" s="16" t="str">
        <f aca="false"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J18" s="16" t="str">
        <f aca="false"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K18" s="16" t="str">
        <f aca="false"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L18" s="16" t="str">
        <f aca="false"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M18" s="16" t="str">
        <f aca="false"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N18" s="16" t="str">
        <f aca="false"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O18" s="16" t="str">
        <f aca="false"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P18" s="16" t="str">
        <f aca="false"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Q18" s="16" t="str">
        <f aca="false"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R18" s="16" t="str">
        <f aca="false"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S18" s="16" t="str">
        <f aca="false"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T18" s="16" t="str">
        <f aca="false"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U18" s="16" t="str">
        <f aca="false"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V18" s="16" t="str">
        <f aca="false"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W18" s="16" t="str">
        <f aca="false"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X18" s="16" t="str">
        <f aca="false"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Y18" s="16" t="str">
        <f aca="false"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Z18" s="16" t="str">
        <f aca="false"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AA18" s="16" t="str">
        <f aca="false"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AB18" s="17" t="str">
        <f aca="false">IF(OR('Öğrenci Listesi'!B19="",AC18=""),"",ROUND(AVERAGE(C18:AA18),2))</f>
        <v/>
      </c>
      <c r="AC18" s="18" t="str">
        <f aca="false">IFERROR(IF('Öğrenci Listesi'!G19="","",IF(UPPER(TRIM('Öğrenci Listesi'!G19))="ÇOK İYİ","Çok İyi",IF(UPPER(TRIM('Öğrenci Listesi'!G19))="İYİ","İyi",IF(UPPER(TRIM('Öğrenci Listesi'!G19))="YETERLİ","Yeterli",IF(UPPER(TRIM('Öğrenci Listesi'!G19))="GELİŞTİRİLMELİ","Geliştirilmeli",'Öğrenci Listesi'!G19))))),"")</f>
        <v/>
      </c>
    </row>
    <row r="19" customFormat="false" ht="9" hidden="false" customHeight="true" outlineLevel="0" collapsed="false">
      <c r="A19" s="14" t="str">
        <f aca="false">IFERROR(IF('Öğrenci Listesi'!A20="","",'Öğrenci Listesi'!A20),"")</f>
        <v/>
      </c>
      <c r="B19" s="15" t="str">
        <f aca="false">IFERROR(IF('Öğrenci Listesi'!B20="","",'Öğrenci Listesi'!B20),"")</f>
        <v/>
      </c>
      <c r="C19" s="16" t="str">
        <f aca="false"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D19" s="16" t="str">
        <f aca="false"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E19" s="16" t="str">
        <f aca="false"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F19" s="16" t="str">
        <f aca="false"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G19" s="16" t="str">
        <f aca="false"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H19" s="16" t="str">
        <f aca="false"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I19" s="16" t="str">
        <f aca="false"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J19" s="16" t="str">
        <f aca="false"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K19" s="16" t="str">
        <f aca="false"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L19" s="16" t="str">
        <f aca="false"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M19" s="16" t="str">
        <f aca="false"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N19" s="16" t="str">
        <f aca="false"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O19" s="16" t="str">
        <f aca="false"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P19" s="16" t="str">
        <f aca="false"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Q19" s="16" t="str">
        <f aca="false"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R19" s="16" t="str">
        <f aca="false"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S19" s="16" t="str">
        <f aca="false"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T19" s="16" t="str">
        <f aca="false"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U19" s="16" t="str">
        <f aca="false"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V19" s="16" t="str">
        <f aca="false"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W19" s="16" t="str">
        <f aca="false"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X19" s="16" t="str">
        <f aca="false"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Y19" s="16" t="str">
        <f aca="false"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Z19" s="16" t="str">
        <f aca="false"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AA19" s="16" t="str">
        <f aca="false"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AB19" s="17" t="str">
        <f aca="false">IF(OR('Öğrenci Listesi'!B20="",AC19=""),"",ROUND(AVERAGE(C19:AA19),2))</f>
        <v/>
      </c>
      <c r="AC19" s="18" t="str">
        <f aca="false">IFERROR(IF('Öğrenci Listesi'!G20="","",IF(UPPER(TRIM('Öğrenci Listesi'!G20))="ÇOK İYİ","Çok İyi",IF(UPPER(TRIM('Öğrenci Listesi'!G20))="İYİ","İyi",IF(UPPER(TRIM('Öğrenci Listesi'!G20))="YETERLİ","Yeterli",IF(UPPER(TRIM('Öğrenci Listesi'!G20))="GELİŞTİRİLMELİ","Geliştirilmeli",'Öğrenci Listesi'!G20))))),"")</f>
        <v/>
      </c>
    </row>
    <row r="20" customFormat="false" ht="9" hidden="false" customHeight="true" outlineLevel="0" collapsed="false">
      <c r="A20" s="14" t="str">
        <f aca="false">IFERROR(IF('Öğrenci Listesi'!A21="","",'Öğrenci Listesi'!A21),"")</f>
        <v/>
      </c>
      <c r="B20" s="15" t="str">
        <f aca="false">IFERROR(IF('Öğrenci Listesi'!B21="","",'Öğrenci Listesi'!B21),"")</f>
        <v/>
      </c>
      <c r="C20" s="16" t="str">
        <f aca="false"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D20" s="16" t="str">
        <f aca="false"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E20" s="16" t="str">
        <f aca="false"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F20" s="16" t="str">
        <f aca="false"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G20" s="16" t="str">
        <f aca="false"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H20" s="16" t="str">
        <f aca="false"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I20" s="16" t="str">
        <f aca="false"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J20" s="16" t="str">
        <f aca="false"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K20" s="16" t="str">
        <f aca="false"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L20" s="16" t="str">
        <f aca="false"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M20" s="16" t="str">
        <f aca="false"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N20" s="16" t="str">
        <f aca="false"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O20" s="16" t="str">
        <f aca="false"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P20" s="16" t="str">
        <f aca="false"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Q20" s="16" t="str">
        <f aca="false"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R20" s="16" t="str">
        <f aca="false"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S20" s="16" t="str">
        <f aca="false"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T20" s="16" t="str">
        <f aca="false"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U20" s="16" t="str">
        <f aca="false"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V20" s="16" t="str">
        <f aca="false"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W20" s="16" t="str">
        <f aca="false"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X20" s="16" t="str">
        <f aca="false"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Y20" s="16" t="str">
        <f aca="false"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Z20" s="16" t="str">
        <f aca="false"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AA20" s="16" t="str">
        <f aca="false"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AB20" s="17" t="str">
        <f aca="false">IF(OR('Öğrenci Listesi'!B21="",AC20=""),"",ROUND(AVERAGE(C20:AA20),2))</f>
        <v/>
      </c>
      <c r="AC20" s="18" t="str">
        <f aca="false">IFERROR(IF('Öğrenci Listesi'!G21="","",IF(UPPER(TRIM('Öğrenci Listesi'!G21))="ÇOK İYİ","Çok İyi",IF(UPPER(TRIM('Öğrenci Listesi'!G21))="İYİ","İyi",IF(UPPER(TRIM('Öğrenci Listesi'!G21))="YETERLİ","Yeterli",IF(UPPER(TRIM('Öğrenci Listesi'!G21))="GELİŞTİRİLMELİ","Geliştirilmeli",'Öğrenci Listesi'!G21))))),"")</f>
        <v/>
      </c>
    </row>
    <row r="21" customFormat="false" ht="9" hidden="false" customHeight="true" outlineLevel="0" collapsed="false">
      <c r="A21" s="14" t="str">
        <f aca="false">IFERROR(IF('Öğrenci Listesi'!A22="","",'Öğrenci Listesi'!A22),"")</f>
        <v/>
      </c>
      <c r="B21" s="15" t="str">
        <f aca="false">IFERROR(IF('Öğrenci Listesi'!B22="","",'Öğrenci Listesi'!B22),"")</f>
        <v/>
      </c>
      <c r="C21" s="16" t="str">
        <f aca="false"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D21" s="16" t="str">
        <f aca="false"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E21" s="16" t="str">
        <f aca="false"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F21" s="16" t="str">
        <f aca="false"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G21" s="16" t="str">
        <f aca="false"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H21" s="16" t="str">
        <f aca="false"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I21" s="16" t="str">
        <f aca="false"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J21" s="16" t="str">
        <f aca="false"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K21" s="16" t="str">
        <f aca="false"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L21" s="16" t="str">
        <f aca="false"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M21" s="16" t="str">
        <f aca="false"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N21" s="16" t="str">
        <f aca="false"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O21" s="16" t="str">
        <f aca="false"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P21" s="16" t="str">
        <f aca="false"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Q21" s="16" t="str">
        <f aca="false"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R21" s="16" t="str">
        <f aca="false"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S21" s="16" t="str">
        <f aca="false"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T21" s="16" t="str">
        <f aca="false"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U21" s="16" t="str">
        <f aca="false"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V21" s="16" t="str">
        <f aca="false"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W21" s="16" t="str">
        <f aca="false"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X21" s="16" t="str">
        <f aca="false"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Y21" s="16" t="str">
        <f aca="false"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Z21" s="16" t="str">
        <f aca="false"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AA21" s="16" t="str">
        <f aca="false"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AB21" s="17" t="str">
        <f aca="false">IF(OR('Öğrenci Listesi'!B22="",AC21=""),"",ROUND(AVERAGE(C21:AA21),2))</f>
        <v/>
      </c>
      <c r="AC21" s="18" t="str">
        <f aca="false">IFERROR(IF('Öğrenci Listesi'!G22="","",IF(UPPER(TRIM('Öğrenci Listesi'!G22))="ÇOK İYİ","Çok İyi",IF(UPPER(TRIM('Öğrenci Listesi'!G22))="İYİ","İyi",IF(UPPER(TRIM('Öğrenci Listesi'!G22))="YETERLİ","Yeterli",IF(UPPER(TRIM('Öğrenci Listesi'!G22))="GELİŞTİRİLMELİ","Geliştirilmeli",'Öğrenci Listesi'!G22))))),"")</f>
        <v/>
      </c>
    </row>
    <row r="22" customFormat="false" ht="9" hidden="false" customHeight="true" outlineLevel="0" collapsed="false">
      <c r="A22" s="14" t="str">
        <f aca="false">IFERROR(IF('Öğrenci Listesi'!A23="","",'Öğrenci Listesi'!A23),"")</f>
        <v/>
      </c>
      <c r="B22" s="15" t="str">
        <f aca="false">IFERROR(IF('Öğrenci Listesi'!B23="","",'Öğrenci Listesi'!B23),"")</f>
        <v/>
      </c>
      <c r="C22" s="16" t="str">
        <f aca="false"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D22" s="16" t="str">
        <f aca="false"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E22" s="16" t="str">
        <f aca="false"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F22" s="16" t="str">
        <f aca="false"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G22" s="16" t="str">
        <f aca="false"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H22" s="16" t="str">
        <f aca="false"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I22" s="16" t="str">
        <f aca="false"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J22" s="16" t="str">
        <f aca="false"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K22" s="16" t="str">
        <f aca="false"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L22" s="16" t="str">
        <f aca="false"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M22" s="16" t="str">
        <f aca="false"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N22" s="16" t="str">
        <f aca="false"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O22" s="16" t="str">
        <f aca="false"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P22" s="16" t="str">
        <f aca="false"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Q22" s="16" t="str">
        <f aca="false"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R22" s="16" t="str">
        <f aca="false"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S22" s="16" t="str">
        <f aca="false"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T22" s="16" t="str">
        <f aca="false"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U22" s="16" t="str">
        <f aca="false"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V22" s="16" t="str">
        <f aca="false"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W22" s="16" t="str">
        <f aca="false"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X22" s="16" t="str">
        <f aca="false"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Y22" s="16" t="str">
        <f aca="false"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Z22" s="16" t="str">
        <f aca="false"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AA22" s="16" t="str">
        <f aca="false"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AB22" s="17" t="str">
        <f aca="false">IF(OR('Öğrenci Listesi'!B23="",AC22=""),"",ROUND(AVERAGE(C22:AA22),2))</f>
        <v/>
      </c>
      <c r="AC22" s="18" t="str">
        <f aca="false">IFERROR(IF('Öğrenci Listesi'!G23="","",IF(UPPER(TRIM('Öğrenci Listesi'!G23))="ÇOK İYİ","Çok İyi",IF(UPPER(TRIM('Öğrenci Listesi'!G23))="İYİ","İyi",IF(UPPER(TRIM('Öğrenci Listesi'!G23))="YETERLİ","Yeterli",IF(UPPER(TRIM('Öğrenci Listesi'!G23))="GELİŞTİRİLMELİ","Geliştirilmeli",'Öğrenci Listesi'!G23))))),"")</f>
        <v/>
      </c>
    </row>
    <row r="23" customFormat="false" ht="9" hidden="false" customHeight="true" outlineLevel="0" collapsed="false">
      <c r="A23" s="14" t="str">
        <f aca="false">IFERROR(IF('Öğrenci Listesi'!A24="","",'Öğrenci Listesi'!A24),"")</f>
        <v/>
      </c>
      <c r="B23" s="15" t="str">
        <f aca="false">IFERROR(IF('Öğrenci Listesi'!B24="","",'Öğrenci Listesi'!B24),"")</f>
        <v/>
      </c>
      <c r="C23" s="16" t="str">
        <f aca="false"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D23" s="16" t="str">
        <f aca="false"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E23" s="16" t="str">
        <f aca="false"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F23" s="16" t="str">
        <f aca="false"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G23" s="16" t="str">
        <f aca="false"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H23" s="16" t="str">
        <f aca="false"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I23" s="16" t="str">
        <f aca="false"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J23" s="16" t="str">
        <f aca="false"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K23" s="16" t="str">
        <f aca="false"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L23" s="16" t="str">
        <f aca="false"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M23" s="16" t="str">
        <f aca="false"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N23" s="16" t="str">
        <f aca="false"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O23" s="16" t="str">
        <f aca="false"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P23" s="16" t="str">
        <f aca="false"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Q23" s="16" t="str">
        <f aca="false"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R23" s="16" t="str">
        <f aca="false"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S23" s="16" t="str">
        <f aca="false"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T23" s="16" t="str">
        <f aca="false"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U23" s="16" t="str">
        <f aca="false"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V23" s="16" t="str">
        <f aca="false"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W23" s="16" t="str">
        <f aca="false"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X23" s="16" t="str">
        <f aca="false"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Y23" s="16" t="str">
        <f aca="false"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Z23" s="16" t="str">
        <f aca="false"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AA23" s="16" t="str">
        <f aca="false"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AB23" s="17" t="str">
        <f aca="false">IF(OR('Öğrenci Listesi'!B24="",AC23=""),"",ROUND(AVERAGE(C23:AA23),2))</f>
        <v/>
      </c>
      <c r="AC23" s="18" t="str">
        <f aca="false">IFERROR(IF('Öğrenci Listesi'!G24="","",IF(UPPER(TRIM('Öğrenci Listesi'!G24))="ÇOK İYİ","Çok İyi",IF(UPPER(TRIM('Öğrenci Listesi'!G24))="İYİ","İyi",IF(UPPER(TRIM('Öğrenci Listesi'!G24))="YETERLİ","Yeterli",IF(UPPER(TRIM('Öğrenci Listesi'!G24))="GELİŞTİRİLMELİ","Geliştirilmeli",'Öğrenci Listesi'!G24))))),"")</f>
        <v/>
      </c>
    </row>
    <row r="24" customFormat="false" ht="9" hidden="false" customHeight="true" outlineLevel="0" collapsed="false">
      <c r="A24" s="14" t="str">
        <f aca="false">IFERROR(IF('Öğrenci Listesi'!A25="","",'Öğrenci Listesi'!A25),"")</f>
        <v/>
      </c>
      <c r="B24" s="15" t="str">
        <f aca="false">IFERROR(IF('Öğrenci Listesi'!B25="","",'Öğrenci Listesi'!B25),"")</f>
        <v/>
      </c>
      <c r="C24" s="16" t="str">
        <f aca="false"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D24" s="16" t="str">
        <f aca="false"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E24" s="16" t="str">
        <f aca="false"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F24" s="16" t="str">
        <f aca="false"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G24" s="16" t="str">
        <f aca="false"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H24" s="16" t="str">
        <f aca="false"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I24" s="16" t="str">
        <f aca="false"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J24" s="16" t="str">
        <f aca="false"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K24" s="16" t="str">
        <f aca="false"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L24" s="16" t="str">
        <f aca="false"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M24" s="16" t="str">
        <f aca="false"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N24" s="16" t="str">
        <f aca="false"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O24" s="16" t="str">
        <f aca="false"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P24" s="16" t="str">
        <f aca="false"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Q24" s="16" t="str">
        <f aca="false"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R24" s="16" t="str">
        <f aca="false"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S24" s="16" t="str">
        <f aca="false"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T24" s="16" t="str">
        <f aca="false"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U24" s="16" t="str">
        <f aca="false"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V24" s="16" t="str">
        <f aca="false"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W24" s="16" t="str">
        <f aca="false"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X24" s="16" t="str">
        <f aca="false"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Y24" s="16" t="str">
        <f aca="false"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Z24" s="16" t="str">
        <f aca="false"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AA24" s="16" t="str">
        <f aca="false"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AB24" s="17" t="str">
        <f aca="false">IF(OR('Öğrenci Listesi'!B25="",AC24=""),"",ROUND(AVERAGE(C24:AA24),2))</f>
        <v/>
      </c>
      <c r="AC24" s="18" t="str">
        <f aca="false">IFERROR(IF('Öğrenci Listesi'!G25="","",IF(UPPER(TRIM('Öğrenci Listesi'!G25))="ÇOK İYİ","Çok İyi",IF(UPPER(TRIM('Öğrenci Listesi'!G25))="İYİ","İyi",IF(UPPER(TRIM('Öğrenci Listesi'!G25))="YETERLİ","Yeterli",IF(UPPER(TRIM('Öğrenci Listesi'!G25))="GELİŞTİRİLMELİ","Geliştirilmeli",'Öğrenci Listesi'!G25))))),"")</f>
        <v/>
      </c>
    </row>
    <row r="25" customFormat="false" ht="9" hidden="false" customHeight="true" outlineLevel="0" collapsed="false">
      <c r="A25" s="14" t="str">
        <f aca="false">IFERROR(IF('Öğrenci Listesi'!A26="","",'Öğrenci Listesi'!A26),"")</f>
        <v/>
      </c>
      <c r="B25" s="15" t="str">
        <f aca="false">IFERROR(IF('Öğrenci Listesi'!B26="","",'Öğrenci Listesi'!B26),"")</f>
        <v/>
      </c>
      <c r="C25" s="16" t="str">
        <f aca="false"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D25" s="16" t="str">
        <f aca="false"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E25" s="16" t="str">
        <f aca="false"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F25" s="16" t="str">
        <f aca="false"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G25" s="16" t="str">
        <f aca="false"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H25" s="16" t="str">
        <f aca="false"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I25" s="16" t="str">
        <f aca="false"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J25" s="16" t="str">
        <f aca="false"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K25" s="16" t="str">
        <f aca="false"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L25" s="16" t="str">
        <f aca="false"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M25" s="16" t="str">
        <f aca="false"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N25" s="16" t="str">
        <f aca="false"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O25" s="16" t="str">
        <f aca="false"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P25" s="16" t="str">
        <f aca="false"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Q25" s="16" t="str">
        <f aca="false"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R25" s="16" t="str">
        <f aca="false"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S25" s="16" t="str">
        <f aca="false"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T25" s="16" t="str">
        <f aca="false"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U25" s="16" t="str">
        <f aca="false"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V25" s="16" t="str">
        <f aca="false"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W25" s="16" t="str">
        <f aca="false"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X25" s="16" t="str">
        <f aca="false"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Y25" s="16" t="str">
        <f aca="false"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Z25" s="16" t="str">
        <f aca="false"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AA25" s="16" t="str">
        <f aca="false"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AB25" s="17" t="str">
        <f aca="false">IF(OR('Öğrenci Listesi'!B26="",AC25=""),"",ROUND(AVERAGE(C25:AA25),2))</f>
        <v/>
      </c>
      <c r="AC25" s="18" t="str">
        <f aca="false">IFERROR(IF('Öğrenci Listesi'!G26="","",IF(UPPER(TRIM('Öğrenci Listesi'!G26))="ÇOK İYİ","Çok İyi",IF(UPPER(TRIM('Öğrenci Listesi'!G26))="İYİ","İyi",IF(UPPER(TRIM('Öğrenci Listesi'!G26))="YETERLİ","Yeterli",IF(UPPER(TRIM('Öğrenci Listesi'!G26))="GELİŞTİRİLMELİ","Geliştirilmeli",'Öğrenci Listesi'!G26))))),"")</f>
        <v/>
      </c>
    </row>
    <row r="26" customFormat="false" ht="9" hidden="false" customHeight="true" outlineLevel="0" collapsed="false">
      <c r="A26" s="14" t="str">
        <f aca="false">IFERROR(IF('Öğrenci Listesi'!A27="","",'Öğrenci Listesi'!A27),"")</f>
        <v/>
      </c>
      <c r="B26" s="15" t="str">
        <f aca="false">IFERROR(IF('Öğrenci Listesi'!B27="","",'Öğrenci Listesi'!B27),"")</f>
        <v/>
      </c>
      <c r="C26" s="16" t="str">
        <f aca="false"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D26" s="16" t="str">
        <f aca="false"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E26" s="16" t="str">
        <f aca="false"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F26" s="16" t="str">
        <f aca="false"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G26" s="16" t="str">
        <f aca="false"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H26" s="16" t="str">
        <f aca="false"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I26" s="16" t="str">
        <f aca="false"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J26" s="16" t="str">
        <f aca="false"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K26" s="16" t="str">
        <f aca="false"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L26" s="16" t="str">
        <f aca="false"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M26" s="16" t="str">
        <f aca="false"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N26" s="16" t="str">
        <f aca="false"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O26" s="16" t="str">
        <f aca="false"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P26" s="16" t="str">
        <f aca="false"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Q26" s="16" t="str">
        <f aca="false"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R26" s="16" t="str">
        <f aca="false"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S26" s="16" t="str">
        <f aca="false"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T26" s="16" t="str">
        <f aca="false"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U26" s="16" t="str">
        <f aca="false"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V26" s="16" t="str">
        <f aca="false"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W26" s="16" t="str">
        <f aca="false"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X26" s="16" t="str">
        <f aca="false"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Y26" s="16" t="str">
        <f aca="false"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Z26" s="16" t="str">
        <f aca="false"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AA26" s="16" t="str">
        <f aca="false"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AB26" s="17" t="str">
        <f aca="false">IF(OR('Öğrenci Listesi'!B27="",AC26=""),"",ROUND(AVERAGE(C26:AA26),2))</f>
        <v/>
      </c>
      <c r="AC26" s="18" t="str">
        <f aca="false">IFERROR(IF('Öğrenci Listesi'!G27="","",IF(UPPER(TRIM('Öğrenci Listesi'!G27))="ÇOK İYİ","Çok İyi",IF(UPPER(TRIM('Öğrenci Listesi'!G27))="İYİ","İyi",IF(UPPER(TRIM('Öğrenci Listesi'!G27))="YETERLİ","Yeterli",IF(UPPER(TRIM('Öğrenci Listesi'!G27))="GELİŞTİRİLMELİ","Geliştirilmeli",'Öğrenci Listesi'!G27))))),"")</f>
        <v/>
      </c>
    </row>
    <row r="27" customFormat="false" ht="9" hidden="false" customHeight="true" outlineLevel="0" collapsed="false">
      <c r="A27" s="14" t="str">
        <f aca="false">IFERROR(IF('Öğrenci Listesi'!A28="","",'Öğrenci Listesi'!A28),"")</f>
        <v/>
      </c>
      <c r="B27" s="15" t="str">
        <f aca="false">IFERROR(IF('Öğrenci Listesi'!B28="","",'Öğrenci Listesi'!B28),"")</f>
        <v/>
      </c>
      <c r="C27" s="16" t="str">
        <f aca="false"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D27" s="16" t="str">
        <f aca="false"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E27" s="16" t="str">
        <f aca="false"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F27" s="16" t="str">
        <f aca="false"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G27" s="16" t="str">
        <f aca="false"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H27" s="16" t="str">
        <f aca="false"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I27" s="16" t="str">
        <f aca="false"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J27" s="16" t="str">
        <f aca="false"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K27" s="16" t="str">
        <f aca="false"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L27" s="16" t="str">
        <f aca="false"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M27" s="16" t="str">
        <f aca="false"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N27" s="16" t="str">
        <f aca="false"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O27" s="16" t="str">
        <f aca="false"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P27" s="16" t="str">
        <f aca="false"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Q27" s="16" t="str">
        <f aca="false"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R27" s="16" t="str">
        <f aca="false"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S27" s="16" t="str">
        <f aca="false"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T27" s="16" t="str">
        <f aca="false"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U27" s="16" t="str">
        <f aca="false"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V27" s="16" t="str">
        <f aca="false"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W27" s="16" t="str">
        <f aca="false"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X27" s="16" t="str">
        <f aca="false"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Y27" s="16" t="str">
        <f aca="false"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Z27" s="16" t="str">
        <f aca="false"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AA27" s="16" t="str">
        <f aca="false"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AB27" s="17" t="str">
        <f aca="false">IF(OR('Öğrenci Listesi'!B28="",AC27=""),"",ROUND(AVERAGE(C27:AA27),2))</f>
        <v/>
      </c>
      <c r="AC27" s="18" t="str">
        <f aca="false">IFERROR(IF('Öğrenci Listesi'!G28="","",IF(UPPER(TRIM('Öğrenci Listesi'!G28))="ÇOK İYİ","Çok İyi",IF(UPPER(TRIM('Öğrenci Listesi'!G28))="İYİ","İyi",IF(UPPER(TRIM('Öğrenci Listesi'!G28))="YETERLİ","Yeterli",IF(UPPER(TRIM('Öğrenci Listesi'!G28))="GELİŞTİRİLMELİ","Geliştirilmeli",'Öğrenci Listesi'!G28))))),"")</f>
        <v/>
      </c>
    </row>
    <row r="28" customFormat="false" ht="9" hidden="false" customHeight="true" outlineLevel="0" collapsed="false">
      <c r="A28" s="14" t="str">
        <f aca="false">IFERROR(IF('Öğrenci Listesi'!A29="","",'Öğrenci Listesi'!A29),"")</f>
        <v/>
      </c>
      <c r="B28" s="15" t="str">
        <f aca="false">IFERROR(IF('Öğrenci Listesi'!B29="","",'Öğrenci Listesi'!B29),"")</f>
        <v/>
      </c>
      <c r="C28" s="16" t="str">
        <f aca="false"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D28" s="16" t="str">
        <f aca="false"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E28" s="16" t="str">
        <f aca="false"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F28" s="16" t="str">
        <f aca="false"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G28" s="16" t="str">
        <f aca="false"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H28" s="16" t="str">
        <f aca="false"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I28" s="16" t="str">
        <f aca="false"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J28" s="16" t="str">
        <f aca="false"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K28" s="16" t="str">
        <f aca="false"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L28" s="16" t="str">
        <f aca="false"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M28" s="16" t="str">
        <f aca="false"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N28" s="16" t="str">
        <f aca="false"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O28" s="16" t="str">
        <f aca="false"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P28" s="16" t="str">
        <f aca="false"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Q28" s="16" t="str">
        <f aca="false"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R28" s="16" t="str">
        <f aca="false"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S28" s="16" t="str">
        <f aca="false"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T28" s="16" t="str">
        <f aca="false"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U28" s="16" t="str">
        <f aca="false"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V28" s="16" t="str">
        <f aca="false"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W28" s="16" t="str">
        <f aca="false"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X28" s="16" t="str">
        <f aca="false"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Y28" s="16" t="str">
        <f aca="false"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Z28" s="16" t="str">
        <f aca="false"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AA28" s="16" t="str">
        <f aca="false"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AB28" s="17" t="str">
        <f aca="false">IF(OR('Öğrenci Listesi'!B29="",AC28=""),"",ROUND(AVERAGE(C28:AA28),2))</f>
        <v/>
      </c>
      <c r="AC28" s="18" t="str">
        <f aca="false">IFERROR(IF('Öğrenci Listesi'!G29="","",IF(UPPER(TRIM('Öğrenci Listesi'!G29))="ÇOK İYİ","Çok İyi",IF(UPPER(TRIM('Öğrenci Listesi'!G29))="İYİ","İyi",IF(UPPER(TRIM('Öğrenci Listesi'!G29))="YETERLİ","Yeterli",IF(UPPER(TRIM('Öğrenci Listesi'!G29))="GELİŞTİRİLMELİ","Geliştirilmeli",'Öğrenci Listesi'!G29))))),"")</f>
        <v/>
      </c>
    </row>
    <row r="29" customFormat="false" ht="9" hidden="false" customHeight="true" outlineLevel="0" collapsed="false">
      <c r="A29" s="14" t="str">
        <f aca="false">IFERROR(IF('Öğrenci Listesi'!A30="","",'Öğrenci Listesi'!A30),"")</f>
        <v/>
      </c>
      <c r="B29" s="15" t="str">
        <f aca="false">IFERROR(IF('Öğrenci Listesi'!B30="","",'Öğrenci Listesi'!B30),"")</f>
        <v/>
      </c>
      <c r="C29" s="16" t="str">
        <f aca="false"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D29" s="16" t="str">
        <f aca="false"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E29" s="16" t="str">
        <f aca="false"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F29" s="16" t="str">
        <f aca="false"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G29" s="16" t="str">
        <f aca="false"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H29" s="16" t="str">
        <f aca="false"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I29" s="16" t="str">
        <f aca="false"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J29" s="16" t="str">
        <f aca="false"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K29" s="16" t="str">
        <f aca="false"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L29" s="16" t="str">
        <f aca="false"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M29" s="16" t="str">
        <f aca="false"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N29" s="16" t="str">
        <f aca="false"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O29" s="16" t="str">
        <f aca="false"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P29" s="16" t="str">
        <f aca="false"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Q29" s="16" t="str">
        <f aca="false"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R29" s="16" t="str">
        <f aca="false"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S29" s="16" t="str">
        <f aca="false"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T29" s="16" t="str">
        <f aca="false"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U29" s="16" t="str">
        <f aca="false"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V29" s="16" t="str">
        <f aca="false"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W29" s="16" t="str">
        <f aca="false"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X29" s="16" t="str">
        <f aca="false"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Y29" s="16" t="str">
        <f aca="false"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Z29" s="16" t="str">
        <f aca="false"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AA29" s="16" t="str">
        <f aca="false"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AB29" s="17" t="str">
        <f aca="false">IF(OR('Öğrenci Listesi'!B30="",AC29=""),"",ROUND(AVERAGE(C29:AA29),2))</f>
        <v/>
      </c>
      <c r="AC29" s="18" t="str">
        <f aca="false">IFERROR(IF('Öğrenci Listesi'!G30="","",IF(UPPER(TRIM('Öğrenci Listesi'!G30))="ÇOK İYİ","Çok İyi",IF(UPPER(TRIM('Öğrenci Listesi'!G30))="İYİ","İyi",IF(UPPER(TRIM('Öğrenci Listesi'!G30))="YETERLİ","Yeterli",IF(UPPER(TRIM('Öğrenci Listesi'!G30))="GELİŞTİRİLMELİ","Geliştirilmeli",'Öğrenci Listesi'!G30))))),"")</f>
        <v/>
      </c>
    </row>
    <row r="30" customFormat="false" ht="9" hidden="false" customHeight="true" outlineLevel="0" collapsed="false">
      <c r="A30" s="14" t="str">
        <f aca="false">IFERROR(IF('Öğrenci Listesi'!A31="","",'Öğrenci Listesi'!A31),"")</f>
        <v/>
      </c>
      <c r="B30" s="15" t="str">
        <f aca="false">IFERROR(IF('Öğrenci Listesi'!B31="","",'Öğrenci Listesi'!B31),"")</f>
        <v/>
      </c>
      <c r="C30" s="16" t="str">
        <f aca="false"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D30" s="16" t="str">
        <f aca="false"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E30" s="16" t="str">
        <f aca="false"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F30" s="16" t="str">
        <f aca="false"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G30" s="16" t="str">
        <f aca="false"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H30" s="16" t="str">
        <f aca="false"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I30" s="16" t="str">
        <f aca="false"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J30" s="16" t="str">
        <f aca="false"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K30" s="16" t="str">
        <f aca="false"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L30" s="16" t="str">
        <f aca="false"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M30" s="16" t="str">
        <f aca="false"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N30" s="16" t="str">
        <f aca="false"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O30" s="16" t="str">
        <f aca="false"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P30" s="16" t="str">
        <f aca="false"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Q30" s="16" t="str">
        <f aca="false"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R30" s="16" t="str">
        <f aca="false"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S30" s="16" t="str">
        <f aca="false"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T30" s="16" t="str">
        <f aca="false"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U30" s="16" t="str">
        <f aca="false"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V30" s="16" t="str">
        <f aca="false"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W30" s="16" t="str">
        <f aca="false"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X30" s="16" t="str">
        <f aca="false"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Y30" s="16" t="str">
        <f aca="false"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Z30" s="16" t="str">
        <f aca="false"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AA30" s="16" t="str">
        <f aca="false"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AB30" s="17" t="str">
        <f aca="false">IF(OR('Öğrenci Listesi'!B31="",AC30=""),"",ROUND(AVERAGE(C30:AA30),2))</f>
        <v/>
      </c>
      <c r="AC30" s="18" t="str">
        <f aca="false">IFERROR(IF('Öğrenci Listesi'!G31="","",IF(UPPER(TRIM('Öğrenci Listesi'!G31))="ÇOK İYİ","Çok İyi",IF(UPPER(TRIM('Öğrenci Listesi'!G31))="İYİ","İyi",IF(UPPER(TRIM('Öğrenci Listesi'!G31))="YETERLİ","Yeterli",IF(UPPER(TRIM('Öğrenci Listesi'!G31))="GELİŞTİRİLMELİ","Geliştirilmeli",'Öğrenci Listesi'!G31))))),"")</f>
        <v/>
      </c>
    </row>
    <row r="31" customFormat="false" ht="9" hidden="false" customHeight="true" outlineLevel="0" collapsed="false">
      <c r="A31" s="14" t="str">
        <f aca="false">IFERROR(IF('Öğrenci Listesi'!A32="","",'Öğrenci Listesi'!A32),"")</f>
        <v/>
      </c>
      <c r="B31" s="15" t="str">
        <f aca="false">IFERROR(IF('Öğrenci Listesi'!B32="","",'Öğrenci Listesi'!B32),"")</f>
        <v/>
      </c>
      <c r="C31" s="16" t="str">
        <f aca="false"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D31" s="16" t="str">
        <f aca="false"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E31" s="16" t="str">
        <f aca="false"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F31" s="16" t="str">
        <f aca="false"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G31" s="16" t="str">
        <f aca="false"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H31" s="16" t="str">
        <f aca="false"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I31" s="16" t="str">
        <f aca="false"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J31" s="16" t="str">
        <f aca="false"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K31" s="16" t="str">
        <f aca="false"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L31" s="16" t="str">
        <f aca="false"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M31" s="16" t="str">
        <f aca="false"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N31" s="16" t="str">
        <f aca="false"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O31" s="16" t="str">
        <f aca="false"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P31" s="16" t="str">
        <f aca="false"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Q31" s="16" t="str">
        <f aca="false"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R31" s="16" t="str">
        <f aca="false"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S31" s="16" t="str">
        <f aca="false"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T31" s="16" t="str">
        <f aca="false"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U31" s="16" t="str">
        <f aca="false"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V31" s="16" t="str">
        <f aca="false"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W31" s="16" t="str">
        <f aca="false"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X31" s="16" t="str">
        <f aca="false"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Y31" s="16" t="str">
        <f aca="false"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Z31" s="16" t="str">
        <f aca="false"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AA31" s="16" t="str">
        <f aca="false"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AB31" s="17" t="str">
        <f aca="false">IF(OR('Öğrenci Listesi'!B32="",AC31=""),"",ROUND(AVERAGE(C31:AA31),2))</f>
        <v/>
      </c>
      <c r="AC31" s="18" t="str">
        <f aca="false">IFERROR(IF('Öğrenci Listesi'!G32="","",IF(UPPER(TRIM('Öğrenci Listesi'!G32))="ÇOK İYİ","Çok İyi",IF(UPPER(TRIM('Öğrenci Listesi'!G32))="İYİ","İyi",IF(UPPER(TRIM('Öğrenci Listesi'!G32))="YETERLİ","Yeterli",IF(UPPER(TRIM('Öğrenci Listesi'!G32))="GELİŞTİRİLMELİ","Geliştirilmeli",'Öğrenci Listesi'!G32))))),"")</f>
        <v/>
      </c>
    </row>
    <row r="32" customFormat="false" ht="9" hidden="false" customHeight="true" outlineLevel="0" collapsed="false">
      <c r="A32" s="14" t="str">
        <f aca="false">IFERROR(IF('Öğrenci Listesi'!A33="","",'Öğrenci Listesi'!A33),"")</f>
        <v/>
      </c>
      <c r="B32" s="15" t="str">
        <f aca="false">IFERROR(IF('Öğrenci Listesi'!B33="","",'Öğrenci Listesi'!B33),"")</f>
        <v/>
      </c>
      <c r="C32" s="16" t="str">
        <f aca="false"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D32" s="16" t="str">
        <f aca="false"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E32" s="16" t="str">
        <f aca="false"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F32" s="16" t="str">
        <f aca="false"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G32" s="16" t="str">
        <f aca="false"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H32" s="16" t="str">
        <f aca="false"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I32" s="16" t="str">
        <f aca="false"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J32" s="16" t="str">
        <f aca="false"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K32" s="16" t="str">
        <f aca="false"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L32" s="16" t="str">
        <f aca="false"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M32" s="16" t="str">
        <f aca="false"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N32" s="16" t="str">
        <f aca="false"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O32" s="16" t="str">
        <f aca="false"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P32" s="16" t="str">
        <f aca="false"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Q32" s="16" t="str">
        <f aca="false"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R32" s="16" t="str">
        <f aca="false"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S32" s="16" t="str">
        <f aca="false"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T32" s="16" t="str">
        <f aca="false"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U32" s="16" t="str">
        <f aca="false"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V32" s="16" t="str">
        <f aca="false"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W32" s="16" t="str">
        <f aca="false"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X32" s="16" t="str">
        <f aca="false"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Y32" s="16" t="str">
        <f aca="false"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Z32" s="16" t="str">
        <f aca="false"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AA32" s="16" t="str">
        <f aca="false"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AB32" s="17" t="str">
        <f aca="false">IF(OR('Öğrenci Listesi'!B33="",AC32=""),"",ROUND(AVERAGE(C32:AA32),2))</f>
        <v/>
      </c>
      <c r="AC32" s="18" t="str">
        <f aca="false">IFERROR(IF('Öğrenci Listesi'!G33="","",IF(UPPER(TRIM('Öğrenci Listesi'!G33))="ÇOK İYİ","Çok İyi",IF(UPPER(TRIM('Öğrenci Listesi'!G33))="İYİ","İyi",IF(UPPER(TRIM('Öğrenci Listesi'!G33))="YETERLİ","Yeterli",IF(UPPER(TRIM('Öğrenci Listesi'!G33))="GELİŞTİRİLMELİ","Geliştirilmeli",'Öğrenci Listesi'!G33))))),"")</f>
        <v/>
      </c>
    </row>
    <row r="33" customFormat="false" ht="9" hidden="false" customHeight="true" outlineLevel="0" collapsed="false">
      <c r="A33" s="14" t="str">
        <f aca="false">IFERROR(IF('Öğrenci Listesi'!A34="","",'Öğrenci Listesi'!A34),"")</f>
        <v/>
      </c>
      <c r="B33" s="15" t="str">
        <f aca="false">IFERROR(IF('Öğrenci Listesi'!B34="","",'Öğrenci Listesi'!B34),"")</f>
        <v/>
      </c>
      <c r="C33" s="16" t="str">
        <f aca="false"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D33" s="16" t="str">
        <f aca="false"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E33" s="16" t="str">
        <f aca="false"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F33" s="16" t="str">
        <f aca="false"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G33" s="16" t="str">
        <f aca="false"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H33" s="16" t="str">
        <f aca="false"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I33" s="16" t="str">
        <f aca="false"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J33" s="16" t="str">
        <f aca="false"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K33" s="16" t="str">
        <f aca="false"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L33" s="16" t="str">
        <f aca="false"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M33" s="16" t="str">
        <f aca="false"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N33" s="16" t="str">
        <f aca="false"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O33" s="16" t="str">
        <f aca="false"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P33" s="16" t="str">
        <f aca="false"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Q33" s="16" t="str">
        <f aca="false"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R33" s="16" t="str">
        <f aca="false"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S33" s="16" t="str">
        <f aca="false"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T33" s="16" t="str">
        <f aca="false"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U33" s="16" t="str">
        <f aca="false"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V33" s="16" t="str">
        <f aca="false"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W33" s="16" t="str">
        <f aca="false"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X33" s="16" t="str">
        <f aca="false"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Y33" s="16" t="str">
        <f aca="false"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Z33" s="16" t="str">
        <f aca="false"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AA33" s="16" t="str">
        <f aca="false"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AB33" s="17" t="str">
        <f aca="false">IF(OR('Öğrenci Listesi'!B34="",AC33=""),"",ROUND(AVERAGE(C33:AA33),2))</f>
        <v/>
      </c>
      <c r="AC33" s="18" t="str">
        <f aca="false">IFERROR(IF('Öğrenci Listesi'!G34="","",IF(UPPER(TRIM('Öğrenci Listesi'!G34))="ÇOK İYİ","Çok İyi",IF(UPPER(TRIM('Öğrenci Listesi'!G34))="İYİ","İyi",IF(UPPER(TRIM('Öğrenci Listesi'!G34))="YETERLİ","Yeterli",IF(UPPER(TRIM('Öğrenci Listesi'!G34))="GELİŞTİRİLMELİ","Geliştirilmeli",'Öğrenci Listesi'!G34))))),"")</f>
        <v/>
      </c>
    </row>
    <row r="34" customFormat="false" ht="9" hidden="false" customHeight="true" outlineLevel="0" collapsed="false">
      <c r="A34" s="14" t="str">
        <f aca="false">IFERROR(IF('Öğrenci Listesi'!A35="","",'Öğrenci Listesi'!A35),"")</f>
        <v/>
      </c>
      <c r="B34" s="15" t="str">
        <f aca="false">IFERROR(IF('Öğrenci Listesi'!B35="","",'Öğrenci Listesi'!B35),"")</f>
        <v/>
      </c>
      <c r="C34" s="16" t="str">
        <f aca="false"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D34" s="16" t="str">
        <f aca="false"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E34" s="16" t="str">
        <f aca="false"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F34" s="16" t="str">
        <f aca="false"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G34" s="16" t="str">
        <f aca="false"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H34" s="16" t="str">
        <f aca="false"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I34" s="16" t="str">
        <f aca="false"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J34" s="16" t="str">
        <f aca="false"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K34" s="16" t="str">
        <f aca="false"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L34" s="16" t="str">
        <f aca="false"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M34" s="16" t="str">
        <f aca="false"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N34" s="16" t="str">
        <f aca="false"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O34" s="16" t="str">
        <f aca="false"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P34" s="16" t="str">
        <f aca="false"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Q34" s="16" t="str">
        <f aca="false"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R34" s="16" t="str">
        <f aca="false"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S34" s="16" t="str">
        <f aca="false"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T34" s="16" t="str">
        <f aca="false"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U34" s="16" t="str">
        <f aca="false"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V34" s="16" t="str">
        <f aca="false"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W34" s="16" t="str">
        <f aca="false"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X34" s="16" t="str">
        <f aca="false"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Y34" s="16" t="str">
        <f aca="false"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Z34" s="16" t="str">
        <f aca="false"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AA34" s="16" t="str">
        <f aca="false"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AB34" s="17" t="str">
        <f aca="false">IF(OR('Öğrenci Listesi'!B35="",AC34=""),"",ROUND(AVERAGE(C34:AA34),2))</f>
        <v/>
      </c>
      <c r="AC34" s="18" t="str">
        <f aca="false">IFERROR(IF('Öğrenci Listesi'!G35="","",IF(UPPER(TRIM('Öğrenci Listesi'!G35))="ÇOK İYİ","Çok İyi",IF(UPPER(TRIM('Öğrenci Listesi'!G35))="İYİ","İyi",IF(UPPER(TRIM('Öğrenci Listesi'!G35))="YETERLİ","Yeterli",IF(UPPER(TRIM('Öğrenci Listesi'!G35))="GELİŞTİRİLMELİ","Geliştirilmeli",'Öğrenci Listesi'!G35))))),"")</f>
        <v/>
      </c>
    </row>
    <row r="35" customFormat="false" ht="9" hidden="false" customHeight="true" outlineLevel="0" collapsed="false">
      <c r="A35" s="14" t="str">
        <f aca="false">IFERROR(IF('Öğrenci Listesi'!A36="","",'Öğrenci Listesi'!A36),"")</f>
        <v/>
      </c>
      <c r="B35" s="15" t="str">
        <f aca="false">IFERROR(IF('Öğrenci Listesi'!B36="","",'Öğrenci Listesi'!B36),"")</f>
        <v/>
      </c>
      <c r="C35" s="16" t="str">
        <f aca="false"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D35" s="16" t="str">
        <f aca="false"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E35" s="16" t="str">
        <f aca="false"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F35" s="16" t="str">
        <f aca="false"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G35" s="16" t="str">
        <f aca="false"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H35" s="16" t="str">
        <f aca="false"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I35" s="16" t="str">
        <f aca="false"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J35" s="16" t="str">
        <f aca="false"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K35" s="16" t="str">
        <f aca="false"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L35" s="16" t="str">
        <f aca="false"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M35" s="16" t="str">
        <f aca="false"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N35" s="16" t="str">
        <f aca="false"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O35" s="16" t="str">
        <f aca="false"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P35" s="16" t="str">
        <f aca="false"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Q35" s="16" t="str">
        <f aca="false"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R35" s="16" t="str">
        <f aca="false"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S35" s="16" t="str">
        <f aca="false"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T35" s="16" t="str">
        <f aca="false"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U35" s="16" t="str">
        <f aca="false"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V35" s="16" t="str">
        <f aca="false"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W35" s="16" t="str">
        <f aca="false"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X35" s="16" t="str">
        <f aca="false"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Y35" s="16" t="str">
        <f aca="false"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Z35" s="16" t="str">
        <f aca="false"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AA35" s="16" t="str">
        <f aca="false"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AB35" s="17" t="str">
        <f aca="false">IF(OR('Öğrenci Listesi'!B36="",AC35=""),"",ROUND(AVERAGE(C35:AA35),2))</f>
        <v/>
      </c>
      <c r="AC35" s="18" t="str">
        <f aca="false">IFERROR(IF('Öğrenci Listesi'!G36="","",IF(UPPER(TRIM('Öğrenci Listesi'!G36))="ÇOK İYİ","Çok İyi",IF(UPPER(TRIM('Öğrenci Listesi'!G36))="İYİ","İyi",IF(UPPER(TRIM('Öğrenci Listesi'!G36))="YETERLİ","Yeterli",IF(UPPER(TRIM('Öğrenci Listesi'!G36))="GELİŞTİRİLMELİ","Geliştirilmeli",'Öğrenci Listesi'!G36))))),"")</f>
        <v/>
      </c>
    </row>
    <row r="36" customFormat="false" ht="9" hidden="false" customHeight="true" outlineLevel="0" collapsed="false">
      <c r="A36" s="14" t="str">
        <f aca="false">IFERROR(IF('Öğrenci Listesi'!A37="","",'Öğrenci Listesi'!A37),"")</f>
        <v/>
      </c>
      <c r="B36" s="15" t="str">
        <f aca="false">IFERROR(IF('Öğrenci Listesi'!B37="","",'Öğrenci Listesi'!B37),"")</f>
        <v/>
      </c>
      <c r="C36" s="16" t="str">
        <f aca="false"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D36" s="16" t="str">
        <f aca="false"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E36" s="16" t="str">
        <f aca="false"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F36" s="16" t="str">
        <f aca="false"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G36" s="16" t="str">
        <f aca="false"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H36" s="16" t="str">
        <f aca="false"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I36" s="16" t="str">
        <f aca="false"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J36" s="16" t="str">
        <f aca="false"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K36" s="16" t="str">
        <f aca="false"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L36" s="16" t="str">
        <f aca="false"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M36" s="16" t="str">
        <f aca="false"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N36" s="16" t="str">
        <f aca="false"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O36" s="16" t="str">
        <f aca="false"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P36" s="16" t="str">
        <f aca="false"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Q36" s="16" t="str">
        <f aca="false"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R36" s="16" t="str">
        <f aca="false"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S36" s="16" t="str">
        <f aca="false"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T36" s="16" t="str">
        <f aca="false"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U36" s="16" t="str">
        <f aca="false"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V36" s="16" t="str">
        <f aca="false"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W36" s="16" t="str">
        <f aca="false"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X36" s="16" t="str">
        <f aca="false"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Y36" s="16" t="str">
        <f aca="false"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Z36" s="16" t="str">
        <f aca="false"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AA36" s="16" t="str">
        <f aca="false"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AB36" s="17" t="str">
        <f aca="false">IF(OR('Öğrenci Listesi'!B37="",AC36=""),"",ROUND(AVERAGE(C36:AA36),2))</f>
        <v/>
      </c>
      <c r="AC36" s="18" t="str">
        <f aca="false">IFERROR(IF('Öğrenci Listesi'!G37="","",IF(UPPER(TRIM('Öğrenci Listesi'!G37))="ÇOK İYİ","Çok İyi",IF(UPPER(TRIM('Öğrenci Listesi'!G37))="İYİ","İyi",IF(UPPER(TRIM('Öğrenci Listesi'!G37))="YETERLİ","Yeterli",IF(UPPER(TRIM('Öğrenci Listesi'!G37))="GELİŞTİRİLMELİ","Geliştirilmeli",'Öğrenci Listesi'!G37))))),"")</f>
        <v/>
      </c>
    </row>
    <row r="37" customFormat="false" ht="9" hidden="false" customHeight="true" outlineLevel="0" collapsed="false">
      <c r="A37" s="14" t="str">
        <f aca="false">IFERROR(IF('Öğrenci Listesi'!A38="","",'Öğrenci Listesi'!A38),"")</f>
        <v/>
      </c>
      <c r="B37" s="15" t="str">
        <f aca="false">IFERROR(IF('Öğrenci Listesi'!B38="","",'Öğrenci Listesi'!B38),"")</f>
        <v/>
      </c>
      <c r="C37" s="16" t="str">
        <f aca="false"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D37" s="16" t="str">
        <f aca="false"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E37" s="16" t="str">
        <f aca="false"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F37" s="16" t="str">
        <f aca="false"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G37" s="16" t="str">
        <f aca="false"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H37" s="16" t="str">
        <f aca="false"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I37" s="16" t="str">
        <f aca="false"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J37" s="16" t="str">
        <f aca="false"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K37" s="16" t="str">
        <f aca="false"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L37" s="16" t="str">
        <f aca="false"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M37" s="16" t="str">
        <f aca="false"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N37" s="16" t="str">
        <f aca="false"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O37" s="16" t="str">
        <f aca="false"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P37" s="16" t="str">
        <f aca="false"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Q37" s="16" t="str">
        <f aca="false"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R37" s="16" t="str">
        <f aca="false"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S37" s="16" t="str">
        <f aca="false"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T37" s="16" t="str">
        <f aca="false"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U37" s="16" t="str">
        <f aca="false"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V37" s="16" t="str">
        <f aca="false"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W37" s="16" t="str">
        <f aca="false"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X37" s="16" t="str">
        <f aca="false"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Y37" s="16" t="str">
        <f aca="false"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Z37" s="16" t="str">
        <f aca="false"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AA37" s="16" t="str">
        <f aca="false"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AB37" s="17" t="str">
        <f aca="false">IF(OR('Öğrenci Listesi'!B38="",AC37=""),"",ROUND(AVERAGE(C37:AA37),2))</f>
        <v/>
      </c>
      <c r="AC37" s="18" t="str">
        <f aca="false">IFERROR(IF('Öğrenci Listesi'!G38="","",IF(UPPER(TRIM('Öğrenci Listesi'!G38))="ÇOK İYİ","Çok İyi",IF(UPPER(TRIM('Öğrenci Listesi'!G38))="İYİ","İyi",IF(UPPER(TRIM('Öğrenci Listesi'!G38))="YETERLİ","Yeterli",IF(UPPER(TRIM('Öğrenci Listesi'!G38))="GELİŞTİRİLMELİ","Geliştirilmeli",'Öğrenci Listesi'!G38))))),"")</f>
        <v/>
      </c>
    </row>
    <row r="38" customFormat="false" ht="9" hidden="false" customHeight="true" outlineLevel="0" collapsed="false">
      <c r="A38" s="14" t="str">
        <f aca="false">IFERROR(IF('Öğrenci Listesi'!A39="","",'Öğrenci Listesi'!A39),"")</f>
        <v/>
      </c>
      <c r="B38" s="15" t="str">
        <f aca="false">IFERROR(IF('Öğrenci Listesi'!B39="","",'Öğrenci Listesi'!B39),"")</f>
        <v/>
      </c>
      <c r="C38" s="16" t="str">
        <f aca="false"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D38" s="16" t="str">
        <f aca="false"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E38" s="16" t="str">
        <f aca="false"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F38" s="16" t="str">
        <f aca="false"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G38" s="16" t="str">
        <f aca="false"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H38" s="16" t="str">
        <f aca="false"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I38" s="16" t="str">
        <f aca="false"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J38" s="16" t="str">
        <f aca="false"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K38" s="16" t="str">
        <f aca="false"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L38" s="16" t="str">
        <f aca="false"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M38" s="16" t="str">
        <f aca="false"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N38" s="16" t="str">
        <f aca="false"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O38" s="16" t="str">
        <f aca="false"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P38" s="16" t="str">
        <f aca="false"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Q38" s="16" t="str">
        <f aca="false"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R38" s="16" t="str">
        <f aca="false"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S38" s="16" t="str">
        <f aca="false"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T38" s="16" t="str">
        <f aca="false"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U38" s="16" t="str">
        <f aca="false"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V38" s="16" t="str">
        <f aca="false"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W38" s="16" t="str">
        <f aca="false"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X38" s="16" t="str">
        <f aca="false"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Y38" s="16" t="str">
        <f aca="false"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Z38" s="16" t="str">
        <f aca="false"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AA38" s="16" t="str">
        <f aca="false"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AB38" s="17" t="str">
        <f aca="false">IF(OR('Öğrenci Listesi'!B39="",AC38=""),"",ROUND(AVERAGE(C38:AA38),2))</f>
        <v/>
      </c>
      <c r="AC38" s="18" t="str">
        <f aca="false">IFERROR(IF('Öğrenci Listesi'!G39="","",IF(UPPER(TRIM('Öğrenci Listesi'!G39))="ÇOK İYİ","Çok İyi",IF(UPPER(TRIM('Öğrenci Listesi'!G39))="İYİ","İyi",IF(UPPER(TRIM('Öğrenci Listesi'!G39))="YETERLİ","Yeterli",IF(UPPER(TRIM('Öğrenci Listesi'!G39))="GELİŞTİRİLMELİ","Geliştirilmeli",'Öğrenci Listesi'!G39))))),"")</f>
        <v/>
      </c>
    </row>
    <row r="39" customFormat="false" ht="9" hidden="false" customHeight="true" outlineLevel="0" collapsed="false">
      <c r="A39" s="14" t="str">
        <f aca="false">IFERROR(IF('Öğrenci Listesi'!A40="","",'Öğrenci Listesi'!A40),"")</f>
        <v/>
      </c>
      <c r="B39" s="15" t="str">
        <f aca="false">IFERROR(IF('Öğrenci Listesi'!B40="","",'Öğrenci Listesi'!B40),"")</f>
        <v/>
      </c>
      <c r="C39" s="16" t="str">
        <f aca="false"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D39" s="16" t="str">
        <f aca="false"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E39" s="16" t="str">
        <f aca="false"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F39" s="16" t="str">
        <f aca="false"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G39" s="16" t="str">
        <f aca="false"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H39" s="16" t="str">
        <f aca="false"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I39" s="16" t="str">
        <f aca="false"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J39" s="16" t="str">
        <f aca="false"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K39" s="16" t="str">
        <f aca="false"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L39" s="16" t="str">
        <f aca="false"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M39" s="16" t="str">
        <f aca="false"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N39" s="16" t="str">
        <f aca="false"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O39" s="16" t="str">
        <f aca="false"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P39" s="16" t="str">
        <f aca="false"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Q39" s="16" t="str">
        <f aca="false"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R39" s="16" t="str">
        <f aca="false"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S39" s="16" t="str">
        <f aca="false"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T39" s="16" t="str">
        <f aca="false"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U39" s="16" t="str">
        <f aca="false"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V39" s="16" t="str">
        <f aca="false"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W39" s="16" t="str">
        <f aca="false"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X39" s="16" t="str">
        <f aca="false"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Y39" s="16" t="str">
        <f aca="false"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Z39" s="16" t="str">
        <f aca="false"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AA39" s="16" t="str">
        <f aca="false"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AB39" s="17" t="str">
        <f aca="false">IF(OR('Öğrenci Listesi'!B40="",AC39=""),"",ROUND(AVERAGE(C39:AA39),2))</f>
        <v/>
      </c>
      <c r="AC39" s="18" t="str">
        <f aca="false">IFERROR(IF('Öğrenci Listesi'!G40="","",IF(UPPER(TRIM('Öğrenci Listesi'!G40))="ÇOK İYİ","Çok İyi",IF(UPPER(TRIM('Öğrenci Listesi'!G40))="İYİ","İyi",IF(UPPER(TRIM('Öğrenci Listesi'!G40))="YETERLİ","Yeterli",IF(UPPER(TRIM('Öğrenci Listesi'!G40))="GELİŞTİRİLMELİ","Geliştirilmeli",'Öğrenci Listesi'!G40))))),"")</f>
        <v/>
      </c>
    </row>
    <row r="40" customFormat="false" ht="9" hidden="false" customHeight="true" outlineLevel="0" collapsed="false">
      <c r="A40" s="14" t="str">
        <f aca="false">IFERROR(IF('Öğrenci Listesi'!A41="","",'Öğrenci Listesi'!A41),"")</f>
        <v/>
      </c>
      <c r="B40" s="15" t="str">
        <f aca="false">IFERROR(IF('Öğrenci Listesi'!B41="","",'Öğrenci Listesi'!B41),"")</f>
        <v/>
      </c>
      <c r="C40" s="16" t="str">
        <f aca="false"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D40" s="16" t="str">
        <f aca="false"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E40" s="16" t="str">
        <f aca="false"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F40" s="16" t="str">
        <f aca="false"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G40" s="16" t="str">
        <f aca="false"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H40" s="16" t="str">
        <f aca="false"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I40" s="16" t="str">
        <f aca="false"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J40" s="16" t="str">
        <f aca="false"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K40" s="16" t="str">
        <f aca="false"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L40" s="16" t="str">
        <f aca="false"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M40" s="16" t="str">
        <f aca="false"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N40" s="16" t="str">
        <f aca="false"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O40" s="16" t="str">
        <f aca="false"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P40" s="16" t="str">
        <f aca="false"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Q40" s="16" t="str">
        <f aca="false"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R40" s="16" t="str">
        <f aca="false"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S40" s="16" t="str">
        <f aca="false"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T40" s="16" t="str">
        <f aca="false"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U40" s="16" t="str">
        <f aca="false"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V40" s="16" t="str">
        <f aca="false"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W40" s="16" t="str">
        <f aca="false"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X40" s="16" t="str">
        <f aca="false"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Y40" s="16" t="str">
        <f aca="false"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Z40" s="16" t="str">
        <f aca="false"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AA40" s="16" t="str">
        <f aca="false"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AB40" s="17" t="str">
        <f aca="false">IF(OR('Öğrenci Listesi'!B41="",AC40=""),"",ROUND(AVERAGE(C40:AA40),2))</f>
        <v/>
      </c>
      <c r="AC40" s="18" t="str">
        <f aca="false">IFERROR(IF('Öğrenci Listesi'!G41="","",IF(UPPER(TRIM('Öğrenci Listesi'!G41))="ÇOK İYİ","Çok İyi",IF(UPPER(TRIM('Öğrenci Listesi'!G41))="İYİ","İyi",IF(UPPER(TRIM('Öğrenci Listesi'!G41))="YETERLİ","Yeterli",IF(UPPER(TRIM('Öğrenci Listesi'!G41))="GELİŞTİRİLMELİ","Geliştirilmeli",'Öğrenci Listesi'!G41))))),"")</f>
        <v/>
      </c>
    </row>
    <row r="41" customFormat="false" ht="9" hidden="false" customHeight="true" outlineLevel="0" collapsed="false">
      <c r="A41" s="14" t="str">
        <f aca="false">IFERROR(IF('Öğrenci Listesi'!A42="","",'Öğrenci Listesi'!A42),"")</f>
        <v/>
      </c>
      <c r="B41" s="15" t="str">
        <f aca="false">IFERROR(IF('Öğrenci Listesi'!B42="","",'Öğrenci Listesi'!B42),"")</f>
        <v/>
      </c>
      <c r="C41" s="16" t="str">
        <f aca="false"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D41" s="16" t="str">
        <f aca="false"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E41" s="16" t="str">
        <f aca="false"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F41" s="16" t="str">
        <f aca="false"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G41" s="16" t="str">
        <f aca="false"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H41" s="16" t="str">
        <f aca="false"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I41" s="16" t="str">
        <f aca="false"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J41" s="16" t="str">
        <f aca="false"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K41" s="16" t="str">
        <f aca="false"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L41" s="16" t="str">
        <f aca="false"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M41" s="16" t="str">
        <f aca="false"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N41" s="16" t="str">
        <f aca="false"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O41" s="16" t="str">
        <f aca="false"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P41" s="16" t="str">
        <f aca="false"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Q41" s="16" t="str">
        <f aca="false"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R41" s="16" t="str">
        <f aca="false"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S41" s="16" t="str">
        <f aca="false"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T41" s="16" t="str">
        <f aca="false"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U41" s="16" t="str">
        <f aca="false"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V41" s="16" t="str">
        <f aca="false"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W41" s="16" t="str">
        <f aca="false"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X41" s="16" t="str">
        <f aca="false"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Y41" s="16" t="str">
        <f aca="false"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Z41" s="16" t="str">
        <f aca="false"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AA41" s="16" t="str">
        <f aca="false"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AB41" s="17" t="str">
        <f aca="false">IF(OR('Öğrenci Listesi'!B42="",AC41=""),"",ROUND(AVERAGE(C41:AA41),2))</f>
        <v/>
      </c>
      <c r="AC41" s="18" t="str">
        <f aca="false">IFERROR(IF('Öğrenci Listesi'!G42="","",IF(UPPER(TRIM('Öğrenci Listesi'!G42))="ÇOK İYİ","Çok İyi",IF(UPPER(TRIM('Öğrenci Listesi'!G42))="İYİ","İyi",IF(UPPER(TRIM('Öğrenci Listesi'!G42))="YETERLİ","Yeterli",IF(UPPER(TRIM('Öğrenci Listesi'!G42))="GELİŞTİRİLMELİ","Geliştirilmeli",'Öğrenci Listesi'!G42))))),"")</f>
        <v/>
      </c>
    </row>
    <row r="42" customFormat="false" ht="9" hidden="false" customHeight="true" outlineLevel="0" collapsed="false">
      <c r="A42" s="14" t="str">
        <f aca="false">IFERROR(IF('Öğrenci Listesi'!A43="","",'Öğrenci Listesi'!A43),"")</f>
        <v/>
      </c>
      <c r="B42" s="15" t="str">
        <f aca="false">IFERROR(IF('Öğrenci Listesi'!B43="","",'Öğrenci Listesi'!B43),"")</f>
        <v/>
      </c>
      <c r="C42" s="16" t="str">
        <f aca="false"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D42" s="16" t="str">
        <f aca="false"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E42" s="16" t="str">
        <f aca="false"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F42" s="16" t="str">
        <f aca="false"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G42" s="16" t="str">
        <f aca="false"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H42" s="16" t="str">
        <f aca="false"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I42" s="16" t="str">
        <f aca="false"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J42" s="16" t="str">
        <f aca="false"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K42" s="16" t="str">
        <f aca="false"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L42" s="16" t="str">
        <f aca="false"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M42" s="16" t="str">
        <f aca="false"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N42" s="16" t="str">
        <f aca="false"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O42" s="16" t="str">
        <f aca="false"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P42" s="16" t="str">
        <f aca="false"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Q42" s="16" t="str">
        <f aca="false"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R42" s="16" t="str">
        <f aca="false"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S42" s="16" t="str">
        <f aca="false"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T42" s="16" t="str">
        <f aca="false"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U42" s="16" t="str">
        <f aca="false"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V42" s="16" t="str">
        <f aca="false"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W42" s="16" t="str">
        <f aca="false"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X42" s="16" t="str">
        <f aca="false"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Y42" s="16" t="str">
        <f aca="false"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Z42" s="16" t="str">
        <f aca="false"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AA42" s="16" t="str">
        <f aca="false"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AB42" s="17" t="str">
        <f aca="false">IF(OR('Öğrenci Listesi'!B43="",AC42=""),"",ROUND(AVERAGE(C42:AA42),2))</f>
        <v/>
      </c>
      <c r="AC42" s="18" t="str">
        <f aca="false">IFERROR(IF('Öğrenci Listesi'!G43="","",IF(UPPER(TRIM('Öğrenci Listesi'!G43))="ÇOK İYİ","Çok İyi",IF(UPPER(TRIM('Öğrenci Listesi'!G43))="İYİ","İyi",IF(UPPER(TRIM('Öğrenci Listesi'!G43))="YETERLİ","Yeterli",IF(UPPER(TRIM('Öğrenci Listesi'!G43))="GELİŞTİRİLMELİ","Geliştirilmeli",'Öğrenci Listesi'!G43))))),"")</f>
        <v/>
      </c>
    </row>
    <row r="43" customFormat="false" ht="9" hidden="false" customHeight="true" outlineLevel="0" collapsed="false">
      <c r="A43" s="14" t="str">
        <f aca="false">IFERROR(IF('Öğrenci Listesi'!A44="","",'Öğrenci Listesi'!A44),"")</f>
        <v/>
      </c>
      <c r="B43" s="15" t="str">
        <f aca="false">IFERROR(IF('Öğrenci Listesi'!B44="","",'Öğrenci Listesi'!B44),"")</f>
        <v/>
      </c>
      <c r="C43" s="16" t="str">
        <f aca="false"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D43" s="16" t="str">
        <f aca="false"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E43" s="16" t="str">
        <f aca="false"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F43" s="16" t="str">
        <f aca="false"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G43" s="16" t="str">
        <f aca="false"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H43" s="16" t="str">
        <f aca="false"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I43" s="16" t="str">
        <f aca="false"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J43" s="16" t="str">
        <f aca="false"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K43" s="16" t="str">
        <f aca="false"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L43" s="16" t="str">
        <f aca="false"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M43" s="16" t="str">
        <f aca="false"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N43" s="16" t="str">
        <f aca="false"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O43" s="16" t="str">
        <f aca="false"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P43" s="16" t="str">
        <f aca="false"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Q43" s="16" t="str">
        <f aca="false"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R43" s="16" t="str">
        <f aca="false"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S43" s="16" t="str">
        <f aca="false"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T43" s="16" t="str">
        <f aca="false"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U43" s="16" t="str">
        <f aca="false"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V43" s="16" t="str">
        <f aca="false"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W43" s="16" t="str">
        <f aca="false"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X43" s="16" t="str">
        <f aca="false"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Y43" s="16" t="str">
        <f aca="false"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Z43" s="16" t="str">
        <f aca="false"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AA43" s="16" t="str">
        <f aca="false"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AB43" s="17" t="str">
        <f aca="false">IF(OR('Öğrenci Listesi'!B44="",AC43=""),"",ROUND(AVERAGE(C43:AA43),2))</f>
        <v/>
      </c>
      <c r="AC43" s="18" t="str">
        <f aca="false">IFERROR(IF('Öğrenci Listesi'!G44="","",IF(UPPER(TRIM('Öğrenci Listesi'!G44))="ÇOK İYİ","Çok İyi",IF(UPPER(TRIM('Öğrenci Listesi'!G44))="İYİ","İyi",IF(UPPER(TRIM('Öğrenci Listesi'!G44))="YETERLİ","Yeterli",IF(UPPER(TRIM('Öğrenci Listesi'!G44))="GELİŞTİRİLMELİ","Geliştirilmeli",'Öğrenci Listesi'!G44))))),"")</f>
        <v/>
      </c>
    </row>
    <row r="44" customFormat="false" ht="9" hidden="false" customHeight="true" outlineLevel="0" collapsed="false">
      <c r="A44" s="14" t="str">
        <f aca="false">IFERROR(IF('Öğrenci Listesi'!A45="","",'Öğrenci Listesi'!A45),"")</f>
        <v/>
      </c>
      <c r="B44" s="15" t="str">
        <f aca="false">IFERROR(IF('Öğrenci Listesi'!B45="","",'Öğrenci Listesi'!B45),"")</f>
        <v/>
      </c>
      <c r="C44" s="16" t="str">
        <f aca="false"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D44" s="16" t="str">
        <f aca="false"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E44" s="16" t="str">
        <f aca="false"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F44" s="16" t="str">
        <f aca="false"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G44" s="16" t="str">
        <f aca="false"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H44" s="16" t="str">
        <f aca="false"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I44" s="16" t="str">
        <f aca="false"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J44" s="16" t="str">
        <f aca="false"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K44" s="16" t="str">
        <f aca="false"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L44" s="16" t="str">
        <f aca="false"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M44" s="16" t="str">
        <f aca="false"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N44" s="16" t="str">
        <f aca="false"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O44" s="16" t="str">
        <f aca="false"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P44" s="16" t="str">
        <f aca="false"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Q44" s="16" t="str">
        <f aca="false"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R44" s="16" t="str">
        <f aca="false"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S44" s="16" t="str">
        <f aca="false"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T44" s="16" t="str">
        <f aca="false"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U44" s="16" t="str">
        <f aca="false"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V44" s="16" t="str">
        <f aca="false"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W44" s="16" t="str">
        <f aca="false"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X44" s="16" t="str">
        <f aca="false"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Y44" s="16" t="str">
        <f aca="false"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Z44" s="16" t="str">
        <f aca="false"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AA44" s="16" t="str">
        <f aca="false"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AB44" s="17" t="str">
        <f aca="false">IF(OR('Öğrenci Listesi'!B45="",AC44=""),"",ROUND(AVERAGE(C44:AA44),2))</f>
        <v/>
      </c>
      <c r="AC44" s="18" t="str">
        <f aca="false">IFERROR(IF('Öğrenci Listesi'!G45="","",IF(UPPER(TRIM('Öğrenci Listesi'!G45))="ÇOK İYİ","Çok İyi",IF(UPPER(TRIM('Öğrenci Listesi'!G45))="İYİ","İyi",IF(UPPER(TRIM('Öğrenci Listesi'!G45))="YETERLİ","Yeterli",IF(UPPER(TRIM('Öğrenci Listesi'!G45))="GELİŞTİRİLMELİ","Geliştirilmeli",'Öğrenci Listesi'!G45))))),"")</f>
        <v/>
      </c>
    </row>
    <row r="45" customFormat="false" ht="13.5" hidden="false" customHeight="true" outlineLevel="0" collapsed="false">
      <c r="A45" s="19" t="s">
        <v>49</v>
      </c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</row>
    <row r="46" customFormat="false" ht="13.5" hidden="false" customHeight="true" outlineLevel="0" collapsed="false">
      <c r="A46" s="11" t="str">
        <f aca="false">Bilgiler!B6&amp;" Sınıf Öğretmeni"</f>
        <v> Sınıf Öğretmeni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 t="s">
        <v>9</v>
      </c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</row>
    <row r="47" customFormat="false" ht="12" hidden="false" customHeight="true" outlineLevel="0" collapsed="false"/>
    <row r="48" customFormat="false" ht="13.5" hidden="false" customHeight="true" outlineLevel="0" collapsed="false">
      <c r="A48" s="11" t="n">
        <f aca="false">Bilgiler!B9</f>
        <v>0</v>
      </c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 t="n">
        <f aca="false">Bilgiler!B10</f>
        <v>0</v>
      </c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</row>
  </sheetData>
  <mergeCells count="7">
    <mergeCell ref="A1:AC1"/>
    <mergeCell ref="A2:AC2"/>
    <mergeCell ref="A45:AC45"/>
    <mergeCell ref="A46:N46"/>
    <mergeCell ref="O46:AC46"/>
    <mergeCell ref="A48:N48"/>
    <mergeCell ref="O48:AC48"/>
  </mergeCells>
  <conditionalFormatting sqref="AC5:AC44">
    <cfRule type="cellIs" priority="2" operator="equal" aboveAverage="0" equalAverage="0" bottom="0" percent="0" rank="0" text="" dxfId="0">
      <formula>"Çok İyi"</formula>
    </cfRule>
    <cfRule type="cellIs" priority="3" operator="equal" aboveAverage="0" equalAverage="0" bottom="0" percent="0" rank="0" text="" dxfId="1">
      <formula>"İyi"</formula>
    </cfRule>
    <cfRule type="cellIs" priority="4" operator="equal" aboveAverage="0" equalAverage="0" bottom="0" percent="0" rank="0" text="" dxfId="2">
      <formula>"Yeterli"</formula>
    </cfRule>
    <cfRule type="cellIs" priority="5" operator="equal" aboveAverage="0" equalAverage="0" bottom="0" percent="0" rank="0" text="" dxfId="3">
      <formula>"Geliştirilmeli"</formula>
    </cfRule>
  </conditionalFormatting>
  <conditionalFormatting sqref="AB5:AB44">
    <cfRule type="cellIs" priority="6" operator="greaterThanOrEqual" aboveAverage="0" equalAverage="0" bottom="0" percent="0" rank="0" text="" dxfId="0">
      <formula>3</formula>
    </cfRule>
    <cfRule type="expression" priority="7" aboveAverage="0" equalAverage="0" bottom="0" percent="0" rank="0" text="" dxfId="1">
      <formula>AND(AB5&gt;=2,AB5&lt;3)</formula>
    </cfRule>
    <cfRule type="expression" priority="8" aboveAverage="0" equalAverage="0" bottom="0" percent="0" rank="0" text="" dxfId="2">
      <formula>AND(AB5&gt;=1.5,AB5&lt;2)</formula>
    </cfRule>
    <cfRule type="expression" priority="9" aboveAverage="0" equalAverage="0" bottom="0" percent="0" rank="0" text="" dxfId="3">
      <formula>AND(AB5&gt;0,AB5&lt;1.5)</formula>
    </cfRule>
  </conditionalFormatting>
  <printOptions headings="false" gridLines="false" gridLinesSet="true" horizontalCentered="true" verticalCentered="false"/>
  <pageMargins left="0.2" right="0.2" top="0.3" bottom="0.3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2026-05-08T21:24:49Z</dcterms:created>
  <dc:creator>openpyxl</dc:creator>
  <dc:description/>
  <dc:language>en-US</dc:language>
  <cp:lastModifiedBy/>
  <dcterms:modified xsi:type="dcterms:W3CDTF">2026-05-08T21:24:49Z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