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ler" sheetId="1" state="visible" r:id="rId3"/>
    <sheet name="Öğrenci Listesi" sheetId="2" state="visible" r:id="rId4"/>
    <sheet name="Ölçek" sheetId="3" state="visible" r:id="rId5"/>
  </sheets>
  <definedNames>
    <definedName function="false" hidden="false" localSheetId="2" name="_xlnm.Print_Area" vbProcedure="false">Ölçek!$A$1:$AJ$48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<sst xmlns="http://schemas.openxmlformats.org/spreadsheetml/2006/main" count="59" uniqueCount="57">
  <si>
    <t xml:space="preserve">📝 BİLGİLERİ DOLDURUNUZ</t>
  </si>
  <si>
    <t xml:space="preserve">Aşağıdaki bilgileri kendi okulunuza ve sınıfınıza göre doldurun. 'Ölçek' sayfasındaki başlıklar otomatik güncellenecek.</t>
  </si>
  <si>
    <t xml:space="preserve">Okul Adı</t>
  </si>
  <si>
    <t xml:space="preserve">Eğitim Öğretim Yılı</t>
  </si>
  <si>
    <t xml:space="preserve">Sınıf / Şube</t>
  </si>
  <si>
    <t xml:space="preserve">Dönem</t>
  </si>
  <si>
    <t xml:space="preserve">Ders</t>
  </si>
  <si>
    <t xml:space="preserve">Matematik</t>
  </si>
  <si>
    <t xml:space="preserve">Sınıf Öğretmeni</t>
  </si>
  <si>
    <t xml:space="preserve">Okul Müdürü</t>
  </si>
  <si>
    <t xml:space="preserve">📋 SİSTEMDEN ÖĞRENCİ LİSTESİNİ BURAYA YAPIŞTIRIN</t>
  </si>
  <si>
    <t xml:space="preserve">Sistemde notları işaretledikten sonra tüm tabloyu kopyalayın (Ctrl+C), aşağıdaki sarı alana yapıştırın (Ctrl+V).</t>
  </si>
  <si>
    <t xml:space="preserve">✓ Öğrenci adları, numaraları ve seviyeler 'Ölçek' sayfasına otomatik aktarılacak.</t>
  </si>
  <si>
    <t xml:space="preserve">NO</t>
  </si>
  <si>
    <t xml:space="preserve">ADI SOYADI</t>
  </si>
  <si>
    <t xml:space="preserve">Geliştirilmeli</t>
  </si>
  <si>
    <t xml:space="preserve">Yeterli</t>
  </si>
  <si>
    <t xml:space="preserve">İyi</t>
  </si>
  <si>
    <t xml:space="preserve">Çok İyi</t>
  </si>
  <si>
    <t xml:space="preserve">SONUÇ</t>
  </si>
  <si>
    <t xml:space="preserve">(yok sayılır)</t>
  </si>
  <si>
    <t xml:space="preserve">ADI VE SOYADI</t>
  </si>
  <si>
    <t xml:space="preserve">4, 5 ve 6 basamaklı doğal sayıları okur ve yazar</t>
  </si>
  <si>
    <t xml:space="preserve">4, 5 ve 6 basamaklı doğal sayıların bölüklerini ve basamaklarını, basamaklarındaki rakamların basamak değerlerini belirler ve çözümler</t>
  </si>
  <si>
    <t xml:space="preserve">En çok altı basamaklı doğal sayıları büyük/küçük sembolü kullanarak sıralar</t>
  </si>
  <si>
    <t xml:space="preserve">En çok dört basamaklı doğal sayılarla toplama işlemini yapar</t>
  </si>
  <si>
    <t xml:space="preserve">En çok dört basamaklı doğal sayıları 100’ün katlarıyla zihinden toplar</t>
  </si>
  <si>
    <t xml:space="preserve">Üç basamaklı doğal sayılardan 10’un katı olan iki basamaklı doğal sayıları ve 100’ün katı olan üç basamaklı doğal sayıları zihinden çıkarır</t>
  </si>
  <si>
    <t xml:space="preserve">Doğal sayılarla toplama ve çıkarma işlemini gerektiren problemleri çözer</t>
  </si>
  <si>
    <t xml:space="preserve">Üç doğal sayı ile yapılan çarpma işleminde sayıların birbirleriyle çarpılma sırasının değişmesinin, sonucu değiştirmediğini gösterir</t>
  </si>
  <si>
    <t xml:space="preserve">En çok üç basamaklı doğal sayıları 10, 100 ve 1000 ile zihinden çarpar</t>
  </si>
  <si>
    <t xml:space="preserve">Doğal sayılarla çarpma işlemini gerektiren problemleri çözer</t>
  </si>
  <si>
    <t xml:space="preserve">Son üç basamağı sıfır olan en çok beş basamaklı doğal sayıları 10, 100 ve 1000’e zihinden böler</t>
  </si>
  <si>
    <t xml:space="preserve">Çarpma ve bölme arasındaki ilişkiyi fark eder</t>
  </si>
  <si>
    <t xml:space="preserve">Aralarında eşitlik durumu olan iki matematiksel ifadeden birinde verilmeyen değeri belirler ve eşitliğin sağlandığını açıklar</t>
  </si>
  <si>
    <t xml:space="preserve">Basit, bileşik ve tam sayılı kesri tanır ve modellerle gösterir</t>
  </si>
  <si>
    <t xml:space="preserve">Paydaları eşit olan en çok üç kesri karşılaştırır</t>
  </si>
  <si>
    <t xml:space="preserve">Kesirlerle toplama ve çıkarma işlemlerini gerektiren problemleri çözer</t>
  </si>
  <si>
    <t xml:space="preserve">Kare ve dikdörtgenin kenar özelliklerini belirler</t>
  </si>
  <si>
    <t xml:space="preserve">Açınımı verilen küpü oluşturur</t>
  </si>
  <si>
    <t xml:space="preserve">Ayna simetrisini, geometrik şekiller ve modeller üzerinde açıklayarak simetri doğrusunu çizer</t>
  </si>
  <si>
    <t xml:space="preserve">Açıyı oluşturan ışınları ve köşeyi belirler, açıyı isimlendirir ve sembolle gösterir</t>
  </si>
  <si>
    <t xml:space="preserve">Açıları standart açı ölçme araçlarıyla ölçerek dar, dik, geniş ve doğru açı olarak belirler</t>
  </si>
  <si>
    <t xml:space="preserve">Standart uzunluk ölçme birimlerinden milimetrenin kullanım alanlarını belirtir</t>
  </si>
  <si>
    <t xml:space="preserve">Doğrudan ölçebileceği bir uzunluğu en uygun uzunluk ölçme birimiyle tahmin eder ve tahminini ölçme yaparak kontrol eder</t>
  </si>
  <si>
    <t xml:space="preserve">Aynı çevre uzunluğuna sahip farklı geometrik şekiller oluşturur</t>
  </si>
  <si>
    <t xml:space="preserve">Şekillerin alanlarının, bu alanı kaplayan birim karelerin sayısı olduğunu belirler</t>
  </si>
  <si>
    <t xml:space="preserve">Zaman ölçme birimleri arasındaki ilişkiyi açıklar</t>
  </si>
  <si>
    <t xml:space="preserve">Yarım ve çeyrek kilogramı gram cinsinden ifade eder</t>
  </si>
  <si>
    <t xml:space="preserve">Ton ve miligramın kullanıldığı yerleri belirler</t>
  </si>
  <si>
    <t xml:space="preserve">Mililitrenin kullanıldığı yerleri açıklar</t>
  </si>
  <si>
    <t xml:space="preserve">Litre ve mililitreyi miktar belirtmek için bir arada kullanır</t>
  </si>
  <si>
    <t xml:space="preserve">Litre ve mililitre ile ilgili problemleri çözer</t>
  </si>
  <si>
    <t xml:space="preserve">Sütun grafiğini oluşturur</t>
  </si>
  <si>
    <t xml:space="preserve">ORTALAMA</t>
  </si>
  <si>
    <t xml:space="preserve">SEVİYE</t>
  </si>
  <si>
    <t xml:space="preserve">DEĞERLENDİRME ÖLÇEĞİ:  4 = Çok İyi  •  3 = İyi  •  2 = Yeterli  •  1 = Geliştirilmeli  |  💡 Öğrenci sayınız azsa boş satırları seçip silin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</si>
</sst>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E7F3FF"/>
        <bgColor rgb="FFF5F5F4"/>
      </patternFill>
    </fill>
    <fill>
      <patternFill patternType="solid">
        <fgColor rgb="FFFFF8E7"/>
        <bgColor rgb="FFF5F5F4"/>
      </patternFill>
    </fill>
    <fill>
      <patternFill patternType="solid">
        <fgColor rgb="FFF5F5F4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FF8E7"/>
      <rgbColor rgb="FFE7F3FF"/>
      <rgbColor rgb="FF660066"/>
      <rgbColor rgb="FFFF8080"/>
      <rgbColor rgb="FF0066CC"/>
      <rgbColor rgb="FFF5F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/>
    </row>
    <row r="5" customFormat="false" ht="27.75" hidden="false" customHeight="true" outlineLevel="0" collapsed="false">
      <c r="A5" s="3" t="s">
        <v>3</v>
      </c>
      <c r="B5" s="4"/>
    </row>
    <row r="6" customFormat="false" ht="27.75" hidden="false" customHeight="true" outlineLevel="0" collapsed="false">
      <c r="A6" s="3" t="s">
        <v>4</v>
      </c>
      <c r="B6" s="4"/>
    </row>
    <row r="7" customFormat="false" ht="27.75" hidden="false" customHeight="true" outlineLevel="0" collapsed="false">
      <c r="A7" s="3" t="s">
        <v>5</v>
      </c>
      <c r="B7" s="4"/>
    </row>
    <row r="8" customFormat="false" ht="27.75" hidden="false" customHeight="true" outlineLevel="0" collapsed="false">
      <c r="A8" s="3" t="s">
        <v>6</v>
      </c>
      <c r="B8" s="4" t="s">
        <v>7</v>
      </c>
    </row>
    <row r="9" customFormat="false" ht="27.75" hidden="false" customHeight="true" outlineLevel="0" collapsed="false">
      <c r="A9" s="3" t="s">
        <v>8</v>
      </c>
      <c r="B9" s="4"/>
    </row>
    <row r="10" customFormat="false" ht="27.75" hidden="false" customHeight="true" outlineLevel="0" collapsed="false">
      <c r="A10" s="3" t="s">
        <v>9</v>
      </c>
      <c r="B1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</row>
    <row r="6" customFormat="false" ht="18" hidden="false" customHeight="true" outlineLevel="0" collapsed="false">
      <c r="A6" s="8"/>
      <c r="B6" s="9"/>
      <c r="C6" s="10"/>
      <c r="D6" s="10"/>
      <c r="E6" s="10"/>
      <c r="F6" s="10"/>
      <c r="G6" s="8"/>
      <c r="H6" s="10"/>
    </row>
    <row r="7" customFormat="false" ht="18" hidden="false" customHeight="true" outlineLevel="0" collapsed="false">
      <c r="A7" s="8"/>
      <c r="B7" s="9"/>
      <c r="C7" s="10"/>
      <c r="D7" s="10"/>
      <c r="E7" s="10"/>
      <c r="F7" s="10"/>
      <c r="G7" s="8"/>
      <c r="H7" s="10"/>
    </row>
    <row r="8" customFormat="false" ht="18" hidden="false" customHeight="true" outlineLevel="0" collapsed="false">
      <c r="A8" s="8"/>
      <c r="B8" s="9"/>
      <c r="C8" s="10"/>
      <c r="D8" s="10"/>
      <c r="E8" s="10"/>
      <c r="F8" s="10"/>
      <c r="G8" s="8"/>
      <c r="H8" s="10"/>
    </row>
    <row r="9" customFormat="false" ht="18" hidden="false" customHeight="true" outlineLevel="0" collapsed="false">
      <c r="A9" s="8"/>
      <c r="B9" s="9"/>
      <c r="C9" s="10"/>
      <c r="D9" s="10"/>
      <c r="E9" s="10"/>
      <c r="F9" s="10"/>
      <c r="G9" s="8"/>
      <c r="H9" s="10"/>
    </row>
    <row r="10" customFormat="false" ht="18" hidden="false" customHeight="true" outlineLevel="0" collapsed="false">
      <c r="A10" s="8"/>
      <c r="B10" s="9"/>
      <c r="C10" s="10"/>
      <c r="D10" s="10"/>
      <c r="E10" s="10"/>
      <c r="F10" s="10"/>
      <c r="G10" s="8"/>
      <c r="H10" s="10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0"/>
      <c r="G11" s="8"/>
      <c r="H11" s="10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0"/>
      <c r="G12" s="8"/>
      <c r="H12" s="10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0"/>
      <c r="G13" s="8"/>
      <c r="H13" s="10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0"/>
      <c r="G14" s="8"/>
      <c r="H14" s="10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0"/>
      <c r="G15" s="8"/>
      <c r="H15" s="10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0"/>
      <c r="G16" s="8"/>
      <c r="H16" s="10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0"/>
      <c r="G17" s="8"/>
      <c r="H17" s="10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0"/>
      <c r="G18" s="8"/>
      <c r="H18" s="10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0"/>
      <c r="G19" s="8"/>
      <c r="H19" s="10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0"/>
      <c r="G20" s="8"/>
      <c r="H20" s="10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0"/>
      <c r="G21" s="8"/>
      <c r="H21" s="10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0"/>
      <c r="G22" s="8"/>
      <c r="H22" s="10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0"/>
      <c r="G23" s="8"/>
      <c r="H23" s="10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0"/>
      <c r="G24" s="8"/>
      <c r="H24" s="10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0"/>
      <c r="G25" s="8"/>
      <c r="H25" s="10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0"/>
      <c r="G26" s="8"/>
      <c r="H26" s="10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0"/>
      <c r="G27" s="8"/>
      <c r="H27" s="10"/>
    </row>
    <row r="28" customFormat="false" ht="18" hidden="false" customHeight="true" outlineLevel="0" collapsed="false">
      <c r="A28" s="8"/>
      <c r="B28" s="9"/>
      <c r="C28" s="10"/>
      <c r="D28" s="10"/>
      <c r="E28" s="10"/>
      <c r="F28" s="10"/>
      <c r="G28" s="8"/>
      <c r="H28" s="10"/>
    </row>
    <row r="29" customFormat="false" ht="18" hidden="false" customHeight="true" outlineLevel="0" collapsed="false">
      <c r="A29" s="8"/>
      <c r="B29" s="9"/>
      <c r="C29" s="10"/>
      <c r="D29" s="10"/>
      <c r="E29" s="10"/>
      <c r="F29" s="10"/>
      <c r="G29" s="8"/>
      <c r="H29" s="10"/>
    </row>
    <row r="30" customFormat="false" ht="18" hidden="false" customHeight="true" outlineLevel="0" collapsed="false">
      <c r="A30" s="8"/>
      <c r="B30" s="9"/>
      <c r="C30" s="10"/>
      <c r="D30" s="10"/>
      <c r="E30" s="10"/>
      <c r="F30" s="10"/>
      <c r="G30" s="8"/>
      <c r="H30" s="10"/>
    </row>
    <row r="31" customFormat="false" ht="18" hidden="false" customHeight="true" outlineLevel="0" collapsed="false">
      <c r="A31" s="8"/>
      <c r="B31" s="9"/>
      <c r="C31" s="10"/>
      <c r="D31" s="10"/>
      <c r="E31" s="10"/>
      <c r="F31" s="10"/>
      <c r="G31" s="8"/>
      <c r="H31" s="10"/>
    </row>
    <row r="32" customFormat="false" ht="18" hidden="false" customHeight="true" outlineLevel="0" collapsed="false">
      <c r="A32" s="8"/>
      <c r="B32" s="9"/>
      <c r="C32" s="10"/>
      <c r="D32" s="10"/>
      <c r="E32" s="10"/>
      <c r="F32" s="10"/>
      <c r="G32" s="8"/>
      <c r="H32" s="10"/>
    </row>
    <row r="33" customFormat="false" ht="18" hidden="false" customHeight="true" outlineLevel="0" collapsed="false">
      <c r="A33" s="8"/>
      <c r="B33" s="9"/>
      <c r="C33" s="10"/>
      <c r="D33" s="10"/>
      <c r="E33" s="10"/>
      <c r="F33" s="10"/>
      <c r="G33" s="8"/>
      <c r="H33" s="10"/>
    </row>
    <row r="34" customFormat="false" ht="18" hidden="false" customHeight="true" outlineLevel="0" collapsed="false">
      <c r="A34" s="8"/>
      <c r="B34" s="9"/>
      <c r="C34" s="10"/>
      <c r="D34" s="10"/>
      <c r="E34" s="10"/>
      <c r="F34" s="10"/>
      <c r="G34" s="8"/>
      <c r="H34" s="10"/>
    </row>
    <row r="35" customFormat="false" ht="18" hidden="false" customHeight="true" outlineLevel="0" collapsed="false">
      <c r="A35" s="8"/>
      <c r="B35" s="9"/>
      <c r="C35" s="10"/>
      <c r="D35" s="10"/>
      <c r="E35" s="10"/>
      <c r="F35" s="10"/>
      <c r="G35" s="8"/>
      <c r="H35" s="10"/>
    </row>
    <row r="36" customFormat="false" ht="18" hidden="false" customHeight="true" outlineLevel="0" collapsed="false">
      <c r="A36" s="8"/>
      <c r="B36" s="9"/>
      <c r="C36" s="10"/>
      <c r="D36" s="10"/>
      <c r="E36" s="10"/>
      <c r="F36" s="10"/>
      <c r="G36" s="8"/>
      <c r="H36" s="10"/>
    </row>
    <row r="37" customFormat="false" ht="18" hidden="false" customHeight="true" outlineLevel="0" collapsed="false">
      <c r="A37" s="8"/>
      <c r="B37" s="9"/>
      <c r="C37" s="10"/>
      <c r="D37" s="10"/>
      <c r="E37" s="10"/>
      <c r="F37" s="10"/>
      <c r="G37" s="8"/>
      <c r="H37" s="10"/>
    </row>
    <row r="38" customFormat="false" ht="18" hidden="false" customHeight="true" outlineLevel="0" collapsed="false">
      <c r="A38" s="8"/>
      <c r="B38" s="9"/>
      <c r="C38" s="10"/>
      <c r="D38" s="10"/>
      <c r="E38" s="10"/>
      <c r="F38" s="10"/>
      <c r="G38" s="8"/>
      <c r="H38" s="10"/>
    </row>
    <row r="39" customFormat="false" ht="18" hidden="false" customHeight="true" outlineLevel="0" collapsed="false">
      <c r="A39" s="8"/>
      <c r="B39" s="9"/>
      <c r="C39" s="10"/>
      <c r="D39" s="10"/>
      <c r="E39" s="10"/>
      <c r="F39" s="10"/>
      <c r="G39" s="8"/>
      <c r="H39" s="10"/>
    </row>
    <row r="40" customFormat="false" ht="18" hidden="false" customHeight="true" outlineLevel="0" collapsed="false">
      <c r="A40" s="8"/>
      <c r="B40" s="9"/>
      <c r="C40" s="10"/>
      <c r="D40" s="10"/>
      <c r="E40" s="10"/>
      <c r="F40" s="10"/>
      <c r="G40" s="8"/>
      <c r="H40" s="10"/>
    </row>
    <row r="41" customFormat="false" ht="18" hidden="false" customHeight="true" outlineLevel="0" collapsed="false">
      <c r="A41" s="8"/>
      <c r="B41" s="9"/>
      <c r="C41" s="10"/>
      <c r="D41" s="10"/>
      <c r="E41" s="10"/>
      <c r="F41" s="10"/>
      <c r="G41" s="8"/>
      <c r="H41" s="10"/>
    </row>
    <row r="42" customFormat="false" ht="18" hidden="false" customHeight="true" outlineLevel="0" collapsed="false">
      <c r="A42" s="8"/>
      <c r="B42" s="9"/>
      <c r="C42" s="10"/>
      <c r="D42" s="10"/>
      <c r="E42" s="10"/>
      <c r="F42" s="10"/>
      <c r="G42" s="8"/>
      <c r="H42" s="10"/>
    </row>
    <row r="43" customFormat="false" ht="18" hidden="false" customHeight="true" outlineLevel="0" collapsed="false">
      <c r="A43" s="8"/>
      <c r="B43" s="9"/>
      <c r="C43" s="10"/>
      <c r="D43" s="10"/>
      <c r="E43" s="10"/>
      <c r="F43" s="10"/>
      <c r="G43" s="8"/>
      <c r="H43" s="10"/>
    </row>
    <row r="44" customFormat="false" ht="18" hidden="false" customHeight="true" outlineLevel="0" collapsed="false">
      <c r="A44" s="8"/>
      <c r="B44" s="9"/>
      <c r="C44" s="10"/>
      <c r="D44" s="10"/>
      <c r="E44" s="10"/>
      <c r="F44" s="10"/>
      <c r="G44" s="8"/>
      <c r="H44" s="10"/>
    </row>
    <row r="45" customFormat="false" ht="18" hidden="false" customHeight="true" outlineLevel="0" collapsed="false">
      <c r="A45" s="8"/>
      <c r="B45" s="9"/>
      <c r="C45" s="10"/>
      <c r="D45" s="10"/>
      <c r="E45" s="10"/>
      <c r="F45" s="10"/>
      <c r="G45" s="8"/>
      <c r="H45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16"/>
    <col collapsed="false" customWidth="true" hidden="false" outlineLevel="0" max="34" min="3" style="0" width="3.2"/>
    <col collapsed="false" customWidth="true" hidden="false" outlineLevel="0" max="35" min="35" style="0" width="9"/>
    <col collapsed="false" customWidth="true" hidden="false" outlineLevel="0" max="36" min="36" style="0" width="13"/>
  </cols>
  <sheetData>
    <row r="1" customFormat="false" ht="13.5" hidden="false" customHeight="true" outlineLevel="0" collapsed="false">
      <c r="A1" s="11" t="str">
        <f aca="false">Bilgiler!B4&amp;" • "&amp;Bilgiler!B5&amp;" EĞİTİM ÖĞRETİM YILI"</f>
        <v> •  EĞİTİM ÖĞRETİM YILI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customFormat="false" ht="13.5" hidden="false" customHeight="true" outlineLevel="0" collapsed="false">
      <c r="A2" s="11" t="str">
        <f aca="false">Bilgiler!B6&amp;" SINIFI "&amp;Bilgiler!B7&amp;" "&amp;Bilgiler!B8&amp;" DERSİ KAZANIM DEĞERLENDİRME ÖLÇEĞİ"</f>
        <v> SINIFI  Matematik DERSİ KAZANIM DEĞERLENDİRME ÖLÇEĞİ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4" customFormat="false" ht="144.75" hidden="false" customHeight="true" outlineLevel="0" collapsed="false">
      <c r="A4" s="12" t="s">
        <v>13</v>
      </c>
      <c r="B4" s="12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3" t="s">
        <v>43</v>
      </c>
      <c r="Y4" s="13" t="s">
        <v>44</v>
      </c>
      <c r="Z4" s="13" t="s">
        <v>45</v>
      </c>
      <c r="AA4" s="13" t="s">
        <v>46</v>
      </c>
      <c r="AB4" s="13" t="s">
        <v>47</v>
      </c>
      <c r="AC4" s="13" t="s">
        <v>48</v>
      </c>
      <c r="AD4" s="13" t="s">
        <v>49</v>
      </c>
      <c r="AE4" s="13" t="s">
        <v>50</v>
      </c>
      <c r="AF4" s="13" t="s">
        <v>51</v>
      </c>
      <c r="AG4" s="13" t="s">
        <v>52</v>
      </c>
      <c r="AH4" s="13" t="s">
        <v>53</v>
      </c>
      <c r="AI4" s="12" t="s">
        <v>54</v>
      </c>
      <c r="AJ4" s="12" t="s">
        <v>55</v>
      </c>
    </row>
    <row r="5" customFormat="false" ht="9" hidden="false" customHeight="true" outlineLevel="0" collapsed="false">
      <c r="A5" s="14" t="str">
        <f aca="false">IFERROR(IF('Öğrenci Listesi'!A6="","",'Öğrenci Listesi'!A6),"")</f>
        <v/>
      </c>
      <c r="B5" s="15" t="str">
        <f aca="false">IFERROR(IF('Öğrenci Listesi'!B6="","",'Öğrenci Listesi'!B6),"")</f>
        <v/>
      </c>
      <c r="C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D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E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F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G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H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I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J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K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L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M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N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O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P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Q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R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S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T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U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V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W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X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Y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Z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A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B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C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D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E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F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G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H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I5" s="17" t="str">
        <f aca="false">IF(OR('Öğrenci Listesi'!B6="",AJ5=""),"",ROUND(AVERAGE(C5:AH5),2))</f>
        <v/>
      </c>
      <c r="AJ5" s="18" t="str">
        <f aca="false"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customFormat="false" ht="9" hidden="false" customHeight="true" outlineLevel="0" collapsed="false">
      <c r="A6" s="14" t="str">
        <f aca="false">IFERROR(IF('Öğrenci Listesi'!A7="","",'Öğrenci Listesi'!A7),"")</f>
        <v/>
      </c>
      <c r="B6" s="15" t="str">
        <f aca="false">IFERROR(IF('Öğrenci Listesi'!B7="","",'Öğrenci Listesi'!B7),"")</f>
        <v/>
      </c>
      <c r="C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D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E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F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G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H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I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J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K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L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M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N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O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P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Q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R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S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T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U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V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W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X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Y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Z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A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B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C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D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E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F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G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H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I6" s="17" t="str">
        <f aca="false">IF(OR('Öğrenci Listesi'!B7="",AJ6=""),"",ROUND(AVERAGE(C6:AH6),2))</f>
        <v/>
      </c>
      <c r="AJ6" s="18" t="str">
        <f aca="false"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customFormat="false" ht="9" hidden="false" customHeight="true" outlineLevel="0" collapsed="false">
      <c r="A7" s="14" t="str">
        <f aca="false">IFERROR(IF('Öğrenci Listesi'!A8="","",'Öğrenci Listesi'!A8),"")</f>
        <v/>
      </c>
      <c r="B7" s="15" t="str">
        <f aca="false">IFERROR(IF('Öğrenci Listesi'!B8="","",'Öğrenci Listesi'!B8),"")</f>
        <v/>
      </c>
      <c r="C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D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E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F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G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H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I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J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K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L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M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N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O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P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Q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R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S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T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U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V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W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X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Y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Z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A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B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C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D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E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F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G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H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I7" s="17" t="str">
        <f aca="false">IF(OR('Öğrenci Listesi'!B8="",AJ7=""),"",ROUND(AVERAGE(C7:AH7),2))</f>
        <v/>
      </c>
      <c r="AJ7" s="18" t="str">
        <f aca="false"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customFormat="false" ht="9" hidden="false" customHeight="true" outlineLevel="0" collapsed="false">
      <c r="A8" s="14" t="str">
        <f aca="false">IFERROR(IF('Öğrenci Listesi'!A9="","",'Öğrenci Listesi'!A9),"")</f>
        <v/>
      </c>
      <c r="B8" s="15" t="str">
        <f aca="false">IFERROR(IF('Öğrenci Listesi'!B9="","",'Öğrenci Listesi'!B9),"")</f>
        <v/>
      </c>
      <c r="C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D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E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F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G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H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I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J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K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L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M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N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O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P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Q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R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S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T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U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V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W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X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Y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Z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A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B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C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D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E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F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G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H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I8" s="17" t="str">
        <f aca="false">IF(OR('Öğrenci Listesi'!B9="",AJ8=""),"",ROUND(AVERAGE(C8:AH8),2))</f>
        <v/>
      </c>
      <c r="AJ8" s="18" t="str">
        <f aca="false"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customFormat="false" ht="9" hidden="false" customHeight="true" outlineLevel="0" collapsed="false">
      <c r="A9" s="14" t="str">
        <f aca="false">IFERROR(IF('Öğrenci Listesi'!A10="","",'Öğrenci Listesi'!A10),"")</f>
        <v/>
      </c>
      <c r="B9" s="15" t="str">
        <f aca="false">IFERROR(IF('Öğrenci Listesi'!B10="","",'Öğrenci Listesi'!B10),"")</f>
        <v/>
      </c>
      <c r="C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D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E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F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G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H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I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J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K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L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M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N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O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P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Q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R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S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T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U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V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W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X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Y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Z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A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B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C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D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E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F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G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H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I9" s="17" t="str">
        <f aca="false">IF(OR('Öğrenci Listesi'!B10="",AJ9=""),"",ROUND(AVERAGE(C9:AH9),2))</f>
        <v/>
      </c>
      <c r="AJ9" s="18" t="str">
        <f aca="false"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customFormat="false" ht="9" hidden="false" customHeight="true" outlineLevel="0" collapsed="false">
      <c r="A10" s="14" t="str">
        <f aca="false">IFERROR(IF('Öğrenci Listesi'!A11="","",'Öğrenci Listesi'!A11),"")</f>
        <v/>
      </c>
      <c r="B10" s="15" t="str">
        <f aca="false">IFERROR(IF('Öğrenci Listesi'!B11="","",'Öğrenci Listesi'!B11),"")</f>
        <v/>
      </c>
      <c r="C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D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E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F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G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H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I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J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K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L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M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N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O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P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Q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R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S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T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U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V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W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X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Y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Z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A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B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C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D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E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F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G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H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I10" s="17" t="str">
        <f aca="false">IF(OR('Öğrenci Listesi'!B11="",AJ10=""),"",ROUND(AVERAGE(C10:AH10),2))</f>
        <v/>
      </c>
      <c r="AJ10" s="18" t="str">
        <f aca="false"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customFormat="false" ht="9" hidden="false" customHeight="true" outlineLevel="0" collapsed="false">
      <c r="A11" s="14" t="str">
        <f aca="false">IFERROR(IF('Öğrenci Listesi'!A12="","",'Öğrenci Listesi'!A12),"")</f>
        <v/>
      </c>
      <c r="B11" s="15" t="str">
        <f aca="false">IFERROR(IF('Öğrenci Listesi'!B12="","",'Öğrenci Listesi'!B12),"")</f>
        <v/>
      </c>
      <c r="C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D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E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F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G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H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I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J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K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L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M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N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O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P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Q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R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S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T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U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V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W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X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Y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Z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A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B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C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D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E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F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G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H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I11" s="17" t="str">
        <f aca="false">IF(OR('Öğrenci Listesi'!B12="",AJ11=""),"",ROUND(AVERAGE(C11:AH11),2))</f>
        <v/>
      </c>
      <c r="AJ11" s="18" t="str">
        <f aca="false"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customFormat="false" ht="9" hidden="false" customHeight="true" outlineLevel="0" collapsed="false">
      <c r="A12" s="14" t="str">
        <f aca="false">IFERROR(IF('Öğrenci Listesi'!A13="","",'Öğrenci Listesi'!A13),"")</f>
        <v/>
      </c>
      <c r="B12" s="15" t="str">
        <f aca="false">IFERROR(IF('Öğrenci Listesi'!B13="","",'Öğrenci Listesi'!B13),"")</f>
        <v/>
      </c>
      <c r="C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D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E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F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G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H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I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J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K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L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M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N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O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P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Q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R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S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T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U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V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W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X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Y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Z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A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B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C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D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E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F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G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H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I12" s="17" t="str">
        <f aca="false">IF(OR('Öğrenci Listesi'!B13="",AJ12=""),"",ROUND(AVERAGE(C12:AH12),2))</f>
        <v/>
      </c>
      <c r="AJ12" s="18" t="str">
        <f aca="false"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customFormat="false" ht="9" hidden="false" customHeight="true" outlineLevel="0" collapsed="false">
      <c r="A13" s="14" t="str">
        <f aca="false">IFERROR(IF('Öğrenci Listesi'!A14="","",'Öğrenci Listesi'!A14),"")</f>
        <v/>
      </c>
      <c r="B13" s="15" t="str">
        <f aca="false">IFERROR(IF('Öğrenci Listesi'!B14="","",'Öğrenci Listesi'!B14),"")</f>
        <v/>
      </c>
      <c r="C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D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E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F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G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H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I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J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K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L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M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N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O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P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Q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R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S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T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U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V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W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X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Y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Z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A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B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C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D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E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F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G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H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I13" s="17" t="str">
        <f aca="false">IF(OR('Öğrenci Listesi'!B14="",AJ13=""),"",ROUND(AVERAGE(C13:AH13),2))</f>
        <v/>
      </c>
      <c r="AJ13" s="18" t="str">
        <f aca="false"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customFormat="false" ht="9" hidden="false" customHeight="true" outlineLevel="0" collapsed="false">
      <c r="A14" s="14" t="str">
        <f aca="false">IFERROR(IF('Öğrenci Listesi'!A15="","",'Öğrenci Listesi'!A15),"")</f>
        <v/>
      </c>
      <c r="B14" s="15" t="str">
        <f aca="false">IFERROR(IF('Öğrenci Listesi'!B15="","",'Öğrenci Listesi'!B15),"")</f>
        <v/>
      </c>
      <c r="C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D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E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F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G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H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I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J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K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L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M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N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O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P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Q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R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S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T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U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V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W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X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Y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Z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A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B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C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D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E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F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G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H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I14" s="17" t="str">
        <f aca="false">IF(OR('Öğrenci Listesi'!B15="",AJ14=""),"",ROUND(AVERAGE(C14:AH14),2))</f>
        <v/>
      </c>
      <c r="AJ14" s="18" t="str">
        <f aca="false"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customFormat="false" ht="9" hidden="false" customHeight="true" outlineLevel="0" collapsed="false">
      <c r="A15" s="14" t="str">
        <f aca="false">IFERROR(IF('Öğrenci Listesi'!A16="","",'Öğrenci Listesi'!A16),"")</f>
        <v/>
      </c>
      <c r="B15" s="15" t="str">
        <f aca="false">IFERROR(IF('Öğrenci Listesi'!B16="","",'Öğrenci Listesi'!B16),"")</f>
        <v/>
      </c>
      <c r="C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D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E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F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G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H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I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J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K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L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M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N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O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P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Q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R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S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T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U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V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W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X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Y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Z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A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B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C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D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E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F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G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H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I15" s="17" t="str">
        <f aca="false">IF(OR('Öğrenci Listesi'!B16="",AJ15=""),"",ROUND(AVERAGE(C15:AH15),2))</f>
        <v/>
      </c>
      <c r="AJ15" s="18" t="str">
        <f aca="false"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customFormat="false" ht="9" hidden="false" customHeight="true" outlineLevel="0" collapsed="false">
      <c r="A16" s="14" t="str">
        <f aca="false">IFERROR(IF('Öğrenci Listesi'!A17="","",'Öğrenci Listesi'!A17),"")</f>
        <v/>
      </c>
      <c r="B16" s="15" t="str">
        <f aca="false">IFERROR(IF('Öğrenci Listesi'!B17="","",'Öğrenci Listesi'!B17),"")</f>
        <v/>
      </c>
      <c r="C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D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E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F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G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H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I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J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K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L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M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N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O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P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Q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R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S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T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U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V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W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X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Y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Z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A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B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C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D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E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F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G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H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I16" s="17" t="str">
        <f aca="false">IF(OR('Öğrenci Listesi'!B17="",AJ16=""),"",ROUND(AVERAGE(C16:AH16),2))</f>
        <v/>
      </c>
      <c r="AJ16" s="18" t="str">
        <f aca="false"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customFormat="false" ht="9" hidden="false" customHeight="true" outlineLevel="0" collapsed="false">
      <c r="A17" s="14" t="str">
        <f aca="false">IFERROR(IF('Öğrenci Listesi'!A18="","",'Öğrenci Listesi'!A18),"")</f>
        <v/>
      </c>
      <c r="B17" s="15" t="str">
        <f aca="false">IFERROR(IF('Öğrenci Listesi'!B18="","",'Öğrenci Listesi'!B18),"")</f>
        <v/>
      </c>
      <c r="C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D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E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F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G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H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I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J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K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L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M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N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O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P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Q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R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S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T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U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V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W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X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Y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Z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A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B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C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D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E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F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G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H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I17" s="17" t="str">
        <f aca="false">IF(OR('Öğrenci Listesi'!B18="",AJ17=""),"",ROUND(AVERAGE(C17:AH17),2))</f>
        <v/>
      </c>
      <c r="AJ17" s="18" t="str">
        <f aca="false"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customFormat="false" ht="9" hidden="false" customHeight="true" outlineLevel="0" collapsed="false">
      <c r="A18" s="14" t="str">
        <f aca="false">IFERROR(IF('Öğrenci Listesi'!A19="","",'Öğrenci Listesi'!A19),"")</f>
        <v/>
      </c>
      <c r="B18" s="15" t="str">
        <f aca="false">IFERROR(IF('Öğrenci Listesi'!B19="","",'Öğrenci Listesi'!B19),"")</f>
        <v/>
      </c>
      <c r="C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D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E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F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G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H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I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J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K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L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M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N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O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P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Q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R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S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T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U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V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W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X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Y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Z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A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B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C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D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E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F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G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H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I18" s="17" t="str">
        <f aca="false">IF(OR('Öğrenci Listesi'!B19="",AJ18=""),"",ROUND(AVERAGE(C18:AH18),2))</f>
        <v/>
      </c>
      <c r="AJ18" s="18" t="str">
        <f aca="false"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customFormat="false" ht="9" hidden="false" customHeight="true" outlineLevel="0" collapsed="false">
      <c r="A19" s="14" t="str">
        <f aca="false">IFERROR(IF('Öğrenci Listesi'!A20="","",'Öğrenci Listesi'!A20),"")</f>
        <v/>
      </c>
      <c r="B19" s="15" t="str">
        <f aca="false">IFERROR(IF('Öğrenci Listesi'!B20="","",'Öğrenci Listesi'!B20),"")</f>
        <v/>
      </c>
      <c r="C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D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E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F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G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H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I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J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K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L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M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N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O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P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Q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R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S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T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U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V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W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X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Y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Z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A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B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C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D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E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F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G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H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I19" s="17" t="str">
        <f aca="false">IF(OR('Öğrenci Listesi'!B20="",AJ19=""),"",ROUND(AVERAGE(C19:AH19),2))</f>
        <v/>
      </c>
      <c r="AJ19" s="18" t="str">
        <f aca="false"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customFormat="false" ht="9" hidden="false" customHeight="true" outlineLevel="0" collapsed="false">
      <c r="A20" s="14" t="str">
        <f aca="false">IFERROR(IF('Öğrenci Listesi'!A21="","",'Öğrenci Listesi'!A21),"")</f>
        <v/>
      </c>
      <c r="B20" s="15" t="str">
        <f aca="false">IFERROR(IF('Öğrenci Listesi'!B21="","",'Öğrenci Listesi'!B21),"")</f>
        <v/>
      </c>
      <c r="C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D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E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F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G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H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I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J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K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L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M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N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O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P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Q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R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S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T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U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V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W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X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Y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Z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A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B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C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D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E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F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G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H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I20" s="17" t="str">
        <f aca="false">IF(OR('Öğrenci Listesi'!B21="",AJ20=""),"",ROUND(AVERAGE(C20:AH20),2))</f>
        <v/>
      </c>
      <c r="AJ20" s="18" t="str">
        <f aca="false"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customFormat="false" ht="9" hidden="false" customHeight="true" outlineLevel="0" collapsed="false">
      <c r="A21" s="14" t="str">
        <f aca="false">IFERROR(IF('Öğrenci Listesi'!A22="","",'Öğrenci Listesi'!A22),"")</f>
        <v/>
      </c>
      <c r="B21" s="15" t="str">
        <f aca="false">IFERROR(IF('Öğrenci Listesi'!B22="","",'Öğrenci Listesi'!B22),"")</f>
        <v/>
      </c>
      <c r="C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D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E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F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G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H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I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J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K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L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M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N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O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P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Q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R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S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T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U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V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W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X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Y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Z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A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B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C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D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E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F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G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H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I21" s="17" t="str">
        <f aca="false">IF(OR('Öğrenci Listesi'!B22="",AJ21=""),"",ROUND(AVERAGE(C21:AH21),2))</f>
        <v/>
      </c>
      <c r="AJ21" s="18" t="str">
        <f aca="false"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customFormat="false" ht="9" hidden="false" customHeight="true" outlineLevel="0" collapsed="false">
      <c r="A22" s="14" t="str">
        <f aca="false">IFERROR(IF('Öğrenci Listesi'!A23="","",'Öğrenci Listesi'!A23),"")</f>
        <v/>
      </c>
      <c r="B22" s="15" t="str">
        <f aca="false">IFERROR(IF('Öğrenci Listesi'!B23="","",'Öğrenci Listesi'!B23),"")</f>
        <v/>
      </c>
      <c r="C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D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E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F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G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H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I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J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K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L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M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N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O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P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Q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R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S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T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U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V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W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X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Y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Z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A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B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C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D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E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F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G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H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I22" s="17" t="str">
        <f aca="false">IF(OR('Öğrenci Listesi'!B23="",AJ22=""),"",ROUND(AVERAGE(C22:AH22),2))</f>
        <v/>
      </c>
      <c r="AJ22" s="18" t="str">
        <f aca="false"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customFormat="false" ht="9" hidden="false" customHeight="true" outlineLevel="0" collapsed="false">
      <c r="A23" s="14" t="str">
        <f aca="false">IFERROR(IF('Öğrenci Listesi'!A24="","",'Öğrenci Listesi'!A24),"")</f>
        <v/>
      </c>
      <c r="B23" s="15" t="str">
        <f aca="false">IFERROR(IF('Öğrenci Listesi'!B24="","",'Öğrenci Listesi'!B24),"")</f>
        <v/>
      </c>
      <c r="C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D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E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F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G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H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I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J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K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L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M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N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O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P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Q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R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S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T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U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V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W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X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Y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Z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A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B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C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D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E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F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G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H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I23" s="17" t="str">
        <f aca="false">IF(OR('Öğrenci Listesi'!B24="",AJ23=""),"",ROUND(AVERAGE(C23:AH23),2))</f>
        <v/>
      </c>
      <c r="AJ23" s="18" t="str">
        <f aca="false"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customFormat="false" ht="9" hidden="false" customHeight="true" outlineLevel="0" collapsed="false">
      <c r="A24" s="14" t="str">
        <f aca="false">IFERROR(IF('Öğrenci Listesi'!A25="","",'Öğrenci Listesi'!A25),"")</f>
        <v/>
      </c>
      <c r="B24" s="15" t="str">
        <f aca="false">IFERROR(IF('Öğrenci Listesi'!B25="","",'Öğrenci Listesi'!B25),"")</f>
        <v/>
      </c>
      <c r="C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D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E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F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G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H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I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J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K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L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M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N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O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P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Q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R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S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T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U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V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W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X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Y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Z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A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B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C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D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E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F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G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H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I24" s="17" t="str">
        <f aca="false">IF(OR('Öğrenci Listesi'!B25="",AJ24=""),"",ROUND(AVERAGE(C24:AH24),2))</f>
        <v/>
      </c>
      <c r="AJ24" s="18" t="str">
        <f aca="false"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customFormat="false" ht="9" hidden="false" customHeight="true" outlineLevel="0" collapsed="false">
      <c r="A25" s="14" t="str">
        <f aca="false">IFERROR(IF('Öğrenci Listesi'!A26="","",'Öğrenci Listesi'!A26),"")</f>
        <v/>
      </c>
      <c r="B25" s="15" t="str">
        <f aca="false">IFERROR(IF('Öğrenci Listesi'!B26="","",'Öğrenci Listesi'!B26),"")</f>
        <v/>
      </c>
      <c r="C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D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E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F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G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H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I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J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K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L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M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N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O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P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Q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R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S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T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U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V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W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X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Y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Z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A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B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C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D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E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F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G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H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I25" s="17" t="str">
        <f aca="false">IF(OR('Öğrenci Listesi'!B26="",AJ25=""),"",ROUND(AVERAGE(C25:AH25),2))</f>
        <v/>
      </c>
      <c r="AJ25" s="18" t="str">
        <f aca="false"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customFormat="false" ht="9" hidden="false" customHeight="true" outlineLevel="0" collapsed="false">
      <c r="A26" s="14" t="str">
        <f aca="false">IFERROR(IF('Öğrenci Listesi'!A27="","",'Öğrenci Listesi'!A27),"")</f>
        <v/>
      </c>
      <c r="B26" s="15" t="str">
        <f aca="false">IFERROR(IF('Öğrenci Listesi'!B27="","",'Öğrenci Listesi'!B27),"")</f>
        <v/>
      </c>
      <c r="C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D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E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F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G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H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I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J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K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L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M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N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O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P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Q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R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S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T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U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V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W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X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Y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Z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A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B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C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D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E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F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G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H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I26" s="17" t="str">
        <f aca="false">IF(OR('Öğrenci Listesi'!B27="",AJ26=""),"",ROUND(AVERAGE(C26:AH26),2))</f>
        <v/>
      </c>
      <c r="AJ26" s="18" t="str">
        <f aca="false"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customFormat="false" ht="9" hidden="false" customHeight="true" outlineLevel="0" collapsed="false">
      <c r="A27" s="14" t="str">
        <f aca="false">IFERROR(IF('Öğrenci Listesi'!A28="","",'Öğrenci Listesi'!A28),"")</f>
        <v/>
      </c>
      <c r="B27" s="15" t="str">
        <f aca="false">IFERROR(IF('Öğrenci Listesi'!B28="","",'Öğrenci Listesi'!B28),"")</f>
        <v/>
      </c>
      <c r="C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D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E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F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G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H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I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J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K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L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M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N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O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P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Q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R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S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T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U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V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W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X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Y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Z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A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B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C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D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E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F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G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H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I27" s="17" t="str">
        <f aca="false">IF(OR('Öğrenci Listesi'!B28="",AJ27=""),"",ROUND(AVERAGE(C27:AH27),2))</f>
        <v/>
      </c>
      <c r="AJ27" s="18" t="str">
        <f aca="false"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customFormat="false" ht="9" hidden="false" customHeight="true" outlineLevel="0" collapsed="false">
      <c r="A28" s="14" t="str">
        <f aca="false">IFERROR(IF('Öğrenci Listesi'!A29="","",'Öğrenci Listesi'!A29),"")</f>
        <v/>
      </c>
      <c r="B28" s="15" t="str">
        <f aca="false">IFERROR(IF('Öğrenci Listesi'!B29="","",'Öğrenci Listesi'!B29),"")</f>
        <v/>
      </c>
      <c r="C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D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E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F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G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H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I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J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K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L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M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N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O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P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Q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R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S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T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U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V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W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X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Y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Z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A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B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C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D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E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F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G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H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I28" s="17" t="str">
        <f aca="false">IF(OR('Öğrenci Listesi'!B29="",AJ28=""),"",ROUND(AVERAGE(C28:AH28),2))</f>
        <v/>
      </c>
      <c r="AJ28" s="18" t="str">
        <f aca="false"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customFormat="false" ht="9" hidden="false" customHeight="true" outlineLevel="0" collapsed="false">
      <c r="A29" s="14" t="str">
        <f aca="false">IFERROR(IF('Öğrenci Listesi'!A30="","",'Öğrenci Listesi'!A30),"")</f>
        <v/>
      </c>
      <c r="B29" s="15" t="str">
        <f aca="false">IFERROR(IF('Öğrenci Listesi'!B30="","",'Öğrenci Listesi'!B30),"")</f>
        <v/>
      </c>
      <c r="C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D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E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F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G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H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I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J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K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L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M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N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O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P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Q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R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S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T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U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V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W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X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Y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Z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A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B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C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D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E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F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G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H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I29" s="17" t="str">
        <f aca="false">IF(OR('Öğrenci Listesi'!B30="",AJ29=""),"",ROUND(AVERAGE(C29:AH29),2))</f>
        <v/>
      </c>
      <c r="AJ29" s="18" t="str">
        <f aca="false"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customFormat="false" ht="9" hidden="false" customHeight="true" outlineLevel="0" collapsed="false">
      <c r="A30" s="14" t="str">
        <f aca="false">IFERROR(IF('Öğrenci Listesi'!A31="","",'Öğrenci Listesi'!A31),"")</f>
        <v/>
      </c>
      <c r="B30" s="15" t="str">
        <f aca="false">IFERROR(IF('Öğrenci Listesi'!B31="","",'Öğrenci Listesi'!B31),"")</f>
        <v/>
      </c>
      <c r="C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D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E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F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G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H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I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J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K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L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M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N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O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P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Q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R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S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T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U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V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W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X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Y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Z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A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B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C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D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E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F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G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H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I30" s="17" t="str">
        <f aca="false">IF(OR('Öğrenci Listesi'!B31="",AJ30=""),"",ROUND(AVERAGE(C30:AH30),2))</f>
        <v/>
      </c>
      <c r="AJ30" s="18" t="str">
        <f aca="false"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customFormat="false" ht="9" hidden="false" customHeight="true" outlineLevel="0" collapsed="false">
      <c r="A31" s="14" t="str">
        <f aca="false">IFERROR(IF('Öğrenci Listesi'!A32="","",'Öğrenci Listesi'!A32),"")</f>
        <v/>
      </c>
      <c r="B31" s="15" t="str">
        <f aca="false">IFERROR(IF('Öğrenci Listesi'!B32="","",'Öğrenci Listesi'!B32),"")</f>
        <v/>
      </c>
      <c r="C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D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E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F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G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H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I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J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K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L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M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N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O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P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Q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R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S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T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U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V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W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X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Y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Z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A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B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C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D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E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F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G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H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I31" s="17" t="str">
        <f aca="false">IF(OR('Öğrenci Listesi'!B32="",AJ31=""),"",ROUND(AVERAGE(C31:AH31),2))</f>
        <v/>
      </c>
      <c r="AJ31" s="18" t="str">
        <f aca="false"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customFormat="false" ht="9" hidden="false" customHeight="true" outlineLevel="0" collapsed="false">
      <c r="A32" s="14" t="str">
        <f aca="false">IFERROR(IF('Öğrenci Listesi'!A33="","",'Öğrenci Listesi'!A33),"")</f>
        <v/>
      </c>
      <c r="B32" s="15" t="str">
        <f aca="false">IFERROR(IF('Öğrenci Listesi'!B33="","",'Öğrenci Listesi'!B33),"")</f>
        <v/>
      </c>
      <c r="C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D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E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F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G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H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I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J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K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L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M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N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O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P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Q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R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S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T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U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V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W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X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Y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Z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A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B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C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D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E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F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G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H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I32" s="17" t="str">
        <f aca="false">IF(OR('Öğrenci Listesi'!B33="",AJ32=""),"",ROUND(AVERAGE(C32:AH32),2))</f>
        <v/>
      </c>
      <c r="AJ32" s="18" t="str">
        <f aca="false"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customFormat="false" ht="9" hidden="false" customHeight="true" outlineLevel="0" collapsed="false">
      <c r="A33" s="14" t="str">
        <f aca="false">IFERROR(IF('Öğrenci Listesi'!A34="","",'Öğrenci Listesi'!A34),"")</f>
        <v/>
      </c>
      <c r="B33" s="15" t="str">
        <f aca="false">IFERROR(IF('Öğrenci Listesi'!B34="","",'Öğrenci Listesi'!B34),"")</f>
        <v/>
      </c>
      <c r="C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D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E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F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G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H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I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J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K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L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M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N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O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P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Q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R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S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T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U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V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W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X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Y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Z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A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B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C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D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E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F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G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H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I33" s="17" t="str">
        <f aca="false">IF(OR('Öğrenci Listesi'!B34="",AJ33=""),"",ROUND(AVERAGE(C33:AH33),2))</f>
        <v/>
      </c>
      <c r="AJ33" s="18" t="str">
        <f aca="false"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customFormat="false" ht="9" hidden="false" customHeight="true" outlineLevel="0" collapsed="false">
      <c r="A34" s="14" t="str">
        <f aca="false">IFERROR(IF('Öğrenci Listesi'!A35="","",'Öğrenci Listesi'!A35),"")</f>
        <v/>
      </c>
      <c r="B34" s="15" t="str">
        <f aca="false">IFERROR(IF('Öğrenci Listesi'!B35="","",'Öğrenci Listesi'!B35),"")</f>
        <v/>
      </c>
      <c r="C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D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E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F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G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H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I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J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K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L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M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N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O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P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Q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R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S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T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U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V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W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X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Y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Z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A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B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C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D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E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F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G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H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I34" s="17" t="str">
        <f aca="false">IF(OR('Öğrenci Listesi'!B35="",AJ34=""),"",ROUND(AVERAGE(C34:AH34),2))</f>
        <v/>
      </c>
      <c r="AJ34" s="18" t="str">
        <f aca="false"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customFormat="false" ht="9" hidden="false" customHeight="true" outlineLevel="0" collapsed="false">
      <c r="A35" s="14" t="str">
        <f aca="false">IFERROR(IF('Öğrenci Listesi'!A36="","",'Öğrenci Listesi'!A36),"")</f>
        <v/>
      </c>
      <c r="B35" s="15" t="str">
        <f aca="false">IFERROR(IF('Öğrenci Listesi'!B36="","",'Öğrenci Listesi'!B36),"")</f>
        <v/>
      </c>
      <c r="C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D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E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F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G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H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I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J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K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L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M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N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O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P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Q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R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S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T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U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V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W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X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Y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Z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A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B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C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D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E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F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G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H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I35" s="17" t="str">
        <f aca="false">IF(OR('Öğrenci Listesi'!B36="",AJ35=""),"",ROUND(AVERAGE(C35:AH35),2))</f>
        <v/>
      </c>
      <c r="AJ35" s="18" t="str">
        <f aca="false"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customFormat="false" ht="9" hidden="false" customHeight="true" outlineLevel="0" collapsed="false">
      <c r="A36" s="14" t="str">
        <f aca="false">IFERROR(IF('Öğrenci Listesi'!A37="","",'Öğrenci Listesi'!A37),"")</f>
        <v/>
      </c>
      <c r="B36" s="15" t="str">
        <f aca="false">IFERROR(IF('Öğrenci Listesi'!B37="","",'Öğrenci Listesi'!B37),"")</f>
        <v/>
      </c>
      <c r="C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D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E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F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G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H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I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J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K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L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M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N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O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P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Q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R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S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T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U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V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W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X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Y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Z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A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B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C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D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E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F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G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H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I36" s="17" t="str">
        <f aca="false">IF(OR('Öğrenci Listesi'!B37="",AJ36=""),"",ROUND(AVERAGE(C36:AH36),2))</f>
        <v/>
      </c>
      <c r="AJ36" s="18" t="str">
        <f aca="false"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customFormat="false" ht="9" hidden="false" customHeight="true" outlineLevel="0" collapsed="false">
      <c r="A37" s="14" t="str">
        <f aca="false">IFERROR(IF('Öğrenci Listesi'!A38="","",'Öğrenci Listesi'!A38),"")</f>
        <v/>
      </c>
      <c r="B37" s="15" t="str">
        <f aca="false">IFERROR(IF('Öğrenci Listesi'!B38="","",'Öğrenci Listesi'!B38),"")</f>
        <v/>
      </c>
      <c r="C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D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E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F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G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H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I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J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K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L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M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N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O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P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Q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R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S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T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U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V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W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X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Y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Z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A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B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C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D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E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F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G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H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I37" s="17" t="str">
        <f aca="false">IF(OR('Öğrenci Listesi'!B38="",AJ37=""),"",ROUND(AVERAGE(C37:AH37),2))</f>
        <v/>
      </c>
      <c r="AJ37" s="18" t="str">
        <f aca="false"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customFormat="false" ht="9" hidden="false" customHeight="true" outlineLevel="0" collapsed="false">
      <c r="A38" s="14" t="str">
        <f aca="false">IFERROR(IF('Öğrenci Listesi'!A39="","",'Öğrenci Listesi'!A39),"")</f>
        <v/>
      </c>
      <c r="B38" s="15" t="str">
        <f aca="false">IFERROR(IF('Öğrenci Listesi'!B39="","",'Öğrenci Listesi'!B39),"")</f>
        <v/>
      </c>
      <c r="C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D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E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F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G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H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I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J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K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L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M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N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O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P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Q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R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S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T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U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V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W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X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Y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Z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A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B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C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D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E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F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G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H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I38" s="17" t="str">
        <f aca="false">IF(OR('Öğrenci Listesi'!B39="",AJ38=""),"",ROUND(AVERAGE(C38:AH38),2))</f>
        <v/>
      </c>
      <c r="AJ38" s="18" t="str">
        <f aca="false"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customFormat="false" ht="9" hidden="false" customHeight="true" outlineLevel="0" collapsed="false">
      <c r="A39" s="14" t="str">
        <f aca="false">IFERROR(IF('Öğrenci Listesi'!A40="","",'Öğrenci Listesi'!A40),"")</f>
        <v/>
      </c>
      <c r="B39" s="15" t="str">
        <f aca="false">IFERROR(IF('Öğrenci Listesi'!B40="","",'Öğrenci Listesi'!B40),"")</f>
        <v/>
      </c>
      <c r="C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D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E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F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G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H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I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J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K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L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M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N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O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P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Q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R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S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T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U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V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W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X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Y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Z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A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B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C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D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E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F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G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H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I39" s="17" t="str">
        <f aca="false">IF(OR('Öğrenci Listesi'!B40="",AJ39=""),"",ROUND(AVERAGE(C39:AH39),2))</f>
        <v/>
      </c>
      <c r="AJ39" s="18" t="str">
        <f aca="false"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customFormat="false" ht="9" hidden="false" customHeight="true" outlineLevel="0" collapsed="false">
      <c r="A40" s="14" t="str">
        <f aca="false">IFERROR(IF('Öğrenci Listesi'!A41="","",'Öğrenci Listesi'!A41),"")</f>
        <v/>
      </c>
      <c r="B40" s="15" t="str">
        <f aca="false">IFERROR(IF('Öğrenci Listesi'!B41="","",'Öğrenci Listesi'!B41),"")</f>
        <v/>
      </c>
      <c r="C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D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E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F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G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H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I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J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K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L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M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N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O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P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Q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R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S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T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U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V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W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X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Y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Z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A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B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C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D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E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F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G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H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I40" s="17" t="str">
        <f aca="false">IF(OR('Öğrenci Listesi'!B41="",AJ40=""),"",ROUND(AVERAGE(C40:AH40),2))</f>
        <v/>
      </c>
      <c r="AJ40" s="18" t="str">
        <f aca="false"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customFormat="false" ht="9" hidden="false" customHeight="true" outlineLevel="0" collapsed="false">
      <c r="A41" s="14" t="str">
        <f aca="false">IFERROR(IF('Öğrenci Listesi'!A42="","",'Öğrenci Listesi'!A42),"")</f>
        <v/>
      </c>
      <c r="B41" s="15" t="str">
        <f aca="false">IFERROR(IF('Öğrenci Listesi'!B42="","",'Öğrenci Listesi'!B42),"")</f>
        <v/>
      </c>
      <c r="C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D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E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F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G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H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I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J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K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L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M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N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O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P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Q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R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S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T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U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V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W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X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Y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Z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A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B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C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D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E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F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G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H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I41" s="17" t="str">
        <f aca="false">IF(OR('Öğrenci Listesi'!B42="",AJ41=""),"",ROUND(AVERAGE(C41:AH41),2))</f>
        <v/>
      </c>
      <c r="AJ41" s="18" t="str">
        <f aca="false"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customFormat="false" ht="9" hidden="false" customHeight="true" outlineLevel="0" collapsed="false">
      <c r="A42" s="14" t="str">
        <f aca="false">IFERROR(IF('Öğrenci Listesi'!A43="","",'Öğrenci Listesi'!A43),"")</f>
        <v/>
      </c>
      <c r="B42" s="15" t="str">
        <f aca="false">IFERROR(IF('Öğrenci Listesi'!B43="","",'Öğrenci Listesi'!B43),"")</f>
        <v/>
      </c>
      <c r="C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D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E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F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G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H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I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J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K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L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M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N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O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P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Q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R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S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T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U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V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W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X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Y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Z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A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B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C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D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E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F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G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H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I42" s="17" t="str">
        <f aca="false">IF(OR('Öğrenci Listesi'!B43="",AJ42=""),"",ROUND(AVERAGE(C42:AH42),2))</f>
        <v/>
      </c>
      <c r="AJ42" s="18" t="str">
        <f aca="false"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customFormat="false" ht="9" hidden="false" customHeight="true" outlineLevel="0" collapsed="false">
      <c r="A43" s="14" t="str">
        <f aca="false">IFERROR(IF('Öğrenci Listesi'!A44="","",'Öğrenci Listesi'!A44),"")</f>
        <v/>
      </c>
      <c r="B43" s="15" t="str">
        <f aca="false">IFERROR(IF('Öğrenci Listesi'!B44="","",'Öğrenci Listesi'!B44),"")</f>
        <v/>
      </c>
      <c r="C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D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E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F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G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H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I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J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K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L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M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N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O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P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Q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R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S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T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U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V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W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X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Y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Z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A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B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C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D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E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F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G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H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I43" s="17" t="str">
        <f aca="false">IF(OR('Öğrenci Listesi'!B44="",AJ43=""),"",ROUND(AVERAGE(C43:AH43),2))</f>
        <v/>
      </c>
      <c r="AJ43" s="18" t="str">
        <f aca="false"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customFormat="false" ht="9" hidden="false" customHeight="true" outlineLevel="0" collapsed="false">
      <c r="A44" s="14" t="str">
        <f aca="false">IFERROR(IF('Öğrenci Listesi'!A45="","",'Öğrenci Listesi'!A45),"")</f>
        <v/>
      </c>
      <c r="B44" s="15" t="str">
        <f aca="false">IFERROR(IF('Öğrenci Listesi'!B45="","",'Öğrenci Listesi'!B45),"")</f>
        <v/>
      </c>
      <c r="C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D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E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F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G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H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I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J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K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L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M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N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O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P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Q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R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S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T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U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V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W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X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Y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Z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A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B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C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D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E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F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G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H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I44" s="17" t="str">
        <f aca="false">IF(OR('Öğrenci Listesi'!B45="",AJ44=""),"",ROUND(AVERAGE(C44:AH44),2))</f>
        <v/>
      </c>
      <c r="AJ44" s="18" t="str">
        <f aca="false"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5" customFormat="false" ht="13.5" hidden="false" customHeight="true" outlineLevel="0" collapsed="false">
      <c r="A45" s="19" t="s">
        <v>56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</row>
    <row r="46" customFormat="false" ht="13.5" hidden="false" customHeight="true" outlineLevel="0" collapsed="false">
      <c r="A46" s="11" t="str">
        <f aca="false">Bilgiler!B6&amp;" Sınıf Öğretmeni"</f>
        <v> Sınıf Öğretmeni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 t="s">
        <v>9</v>
      </c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customFormat="false" ht="12" hidden="false" customHeight="true" outlineLevel="0" collapsed="false"/>
    <row r="48" customFormat="false" ht="13.5" hidden="false" customHeight="true" outlineLevel="0" collapsed="false">
      <c r="A48" s="11" t="n">
        <f aca="false">Bilgiler!B9</f>
        <v>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 t="n">
        <f aca="false">Bilgiler!B10</f>
        <v>0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</sheetData>
  <mergeCells count="7">
    <mergeCell ref="A1:AJ1"/>
    <mergeCell ref="A2:AJ2"/>
    <mergeCell ref="A45:AJ45"/>
    <mergeCell ref="A46:R46"/>
    <mergeCell ref="S46:AJ46"/>
    <mergeCell ref="A48:R48"/>
    <mergeCell ref="S48:AJ48"/>
  </mergeCells>
  <conditionalFormatting sqref="AJ5:AJ44">
    <cfRule type="cellIs" priority="2" operator="equal" aboveAverage="0" equalAverage="0" bottom="0" percent="0" rank="0" text="" dxfId="0">
      <formula>"Çok İyi"</formula>
    </cfRule>
    <cfRule type="cellIs" priority="3" operator="equal" aboveAverage="0" equalAverage="0" bottom="0" percent="0" rank="0" text="" dxfId="1">
      <formula>"İyi"</formula>
    </cfRule>
    <cfRule type="cellIs" priority="4" operator="equal" aboveAverage="0" equalAverage="0" bottom="0" percent="0" rank="0" text="" dxfId="2">
      <formula>"Yeterli"</formula>
    </cfRule>
    <cfRule type="cellIs" priority="5" operator="equal" aboveAverage="0" equalAverage="0" bottom="0" percent="0" rank="0" text="" dxfId="3">
      <formula>"Geliştirilmeli"</formula>
    </cfRule>
  </conditionalFormatting>
  <conditionalFormatting sqref="AI5:AI44">
    <cfRule type="cellIs" priority="6" operator="greaterThanOrEqual" aboveAverage="0" equalAverage="0" bottom="0" percent="0" rank="0" text="" dxfId="0">
      <formula>3</formula>
    </cfRule>
    <cfRule type="expression" priority="7" aboveAverage="0" equalAverage="0" bottom="0" percent="0" rank="0" text="" dxfId="1">
      <formula>AND(AI5&gt;=2,AI5&lt;3)</formula>
    </cfRule>
    <cfRule type="expression" priority="8" aboveAverage="0" equalAverage="0" bottom="0" percent="0" rank="0" text="" dxfId="2">
      <formula>AND(AI5&gt;=1.5,AI5&lt;2)</formula>
    </cfRule>
    <cfRule type="expression" priority="9" aboveAverage="0" equalAverage="0" bottom="0" percent="0" rank="0" text="" dxfId="3">
      <formula>AND(AI5&gt;0,AI5&lt;1.5)</formula>
    </cfRule>
  </conditionalFormatting>
  <printOptions headings="false" gridLines="false" gridLinesSet="true" horizontalCentered="tru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2026-05-08T21:24:48Z</dcterms:created>
  <dc:creator>openpyxl</dc:creator>
  <dc:description/>
  <dc:language>en-US</dc:language>
  <cp:lastModifiedBy/>
  <dcterms:modified xsi:type="dcterms:W3CDTF">2026-05-08T21:24:48Z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