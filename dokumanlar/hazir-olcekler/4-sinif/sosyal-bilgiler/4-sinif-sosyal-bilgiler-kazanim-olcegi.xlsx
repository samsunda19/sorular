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<sst xmlns="http://schemas.openxmlformats.org/spreadsheetml/2006/main" count="59" uniqueCount="57">
  <si>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</si>
  <si>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</si>
  <si>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</si>
  <si>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</si>
  <si>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</si>
  <si>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</si>
  <si>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</si>
  <si>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Sosyal Bilgiler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</si>
  <si>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</si>
  <si>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</si>
  <si>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</si>
  <si>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</si>
  <si>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</si>
  <si>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</si>
  <si>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</si>
  <si>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</si>
  <si>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</si>
  <si>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</si>
  <si>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</si>
  <si>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</si>
  <si>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</si>
  <si>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</si>
  <si>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Resmî kimlik belgesini inceleyerek kişisel kimliğine ilişkin çıkarımlarda bulunur</t>
  </si>
  <si>
    <t xml:space="preserve">Yaşamına ilişkin belli başlı olayları kronolojik sıraya koyar</t>
  </si>
  <si>
    <t xml:space="preserve">Bireysel ilgi, ihtiyaç ve yeteneklerini tanır</t>
  </si>
  <si>
    <t xml:space="preserve">Kendisini farklı özelliklere sahip diğer bireylerin yerine koyar</t>
  </si>
  <si>
    <t xml:space="preserve">Diğer bireylerin farklı özelliklerini saygı ile karşılar</t>
  </si>
  <si>
    <t xml:space="preserve">Sözlü, yazılı, görsel kaynaklar ve nesnelerden yararlanarak aile tarihi çalışması yapar</t>
  </si>
  <si>
    <t xml:space="preserve">Ailesi ve çevresindeki millî kültürü yansıtan ögeleri araştırarak örnekler verir</t>
  </si>
  <si>
    <t xml:space="preserve">Geleneksel çocuk oyunlarını değişim ve süreklilik açısından günümüzdeki oyunlarla karşılaştırır</t>
  </si>
  <si>
    <t xml:space="preserve">Millî Mücadele kahramanlarının hayatlarından hareketle Millî Mücadele’nin önemini kavrar</t>
  </si>
  <si>
    <t xml:space="preserve">Çevresindeki herhangi bir yerin konumu ile ilgili çıkarımlarda bulunur</t>
  </si>
  <si>
    <t xml:space="preserve">Günlük yaşamında kullandığı mekânların krokisini çizer</t>
  </si>
  <si>
    <t xml:space="preserve">Yaşadığı çevredeki doğal ve beşerî unsurları ayırt eder</t>
  </si>
  <si>
    <t xml:space="preserve">Çevresinde meydana gelen hava olaylarını gözlemleyerek bulgularını resimli grafiklere aktarır</t>
  </si>
  <si>
    <t xml:space="preserve">Yaşadığı yer ve çevresindeki yer şekilleri ve nüfus özellikleri hakkında çıkarımlarda bulunur</t>
  </si>
  <si>
    <t xml:space="preserve">Afet öncesi, sırası ve sonrasına yönelik gerekli hazırlıkları yapar</t>
  </si>
  <si>
    <t xml:space="preserve">Çevresindeki teknolojik ürünleri, kullanım alanlarına göre sınıflandırır</t>
  </si>
  <si>
    <t xml:space="preserve">Teknolojik ürünlerin geçmişteki ve bugünkü kullanımlarını karşılaştırır</t>
  </si>
  <si>
    <t xml:space="preserve">Kullandığı teknolojik ürünlerin mucitlerini ve bu ürünlerin zaman içerisindeki gelişimini araştırır</t>
  </si>
  <si>
    <t xml:space="preserve">Çevresindeki ihtiyaçlardan yola çıkarak kendine özgü ürünler tasarlamaya yönelik fikirler geliştirir</t>
  </si>
  <si>
    <t xml:space="preserve">Teknolojik ürünleri kendisine, başkalarına ve doğaya zarar vermeden kullanır</t>
  </si>
  <si>
    <t xml:space="preserve">İstek ve ihtiyaçlarını ayırt ederek ikisi arasında bilinçli seçimler yapar</t>
  </si>
  <si>
    <t xml:space="preserve">Ailesi ve yakın çevresindeki başlıca ekonomik faaliyetleri tanır</t>
  </si>
  <si>
    <t xml:space="preserve">Sorumluluk sahibi bir birey olarak bilinçli tüketici davranışları sergiler</t>
  </si>
  <si>
    <t xml:space="preserve">Kendine ait örnek bir bütçe oluşturur</t>
  </si>
  <si>
    <t xml:space="preserve">Çevresindeki kaynakları israf etmeden kullanır</t>
  </si>
  <si>
    <t xml:space="preserve">Çocuk olarak sahip olduğu haklara örnekler verir</t>
  </si>
  <si>
    <t xml:space="preserve">Aile ve okul yaşamındaki söz ve eylemlerinin sorumluluğunu alır</t>
  </si>
  <si>
    <t xml:space="preserve">Okul yaşamında gerekli gördüğü eğitsel sosyal etkinlikleri önerir</t>
  </si>
  <si>
    <t xml:space="preserve">Ülkesinin bağımsızlığı ile bireysel özgürlüğü arasındaki ilişkiyi açıklar</t>
  </si>
  <si>
    <t xml:space="preserve">Dünya üzerindeki çeşitli ülkeleri tanıtır</t>
  </si>
  <si>
    <t xml:space="preserve">Türkiye’nin komşuları ve diğer Türk Cumhuriyetleri ile olan ilişkilerini kavrar</t>
  </si>
  <si>
    <t xml:space="preserve">Farklı ülkelere ait kültürel unsurlarla ülkemizin sahip olduğu kültürel unsurları karşılaştırır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</si>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</sst>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34" min="3" style="0" width="3.2"/>
    <col collapsed="false" customWidth="true" hidden="false" outlineLevel="0" max="35" min="35" style="0" width="9"/>
    <col collapsed="false" customWidth="true" hidden="false" outlineLevel="0" max="36" min="36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Sosyal Bilgiler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4" customFormat="false" ht="144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3" t="s">
        <v>47</v>
      </c>
      <c r="AC4" s="13" t="s">
        <v>48</v>
      </c>
      <c r="AD4" s="13" t="s">
        <v>49</v>
      </c>
      <c r="AE4" s="13" t="s">
        <v>50</v>
      </c>
      <c r="AF4" s="13" t="s">
        <v>51</v>
      </c>
      <c r="AG4" s="13" t="s">
        <v>52</v>
      </c>
      <c r="AH4" s="13" t="s">
        <v>53</v>
      </c>
      <c r="AI4" s="12" t="s">
        <v>54</v>
      </c>
      <c r="AJ4" s="12" t="s">
        <v>55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I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J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K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L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M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N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O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P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Q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R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S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T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U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V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W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X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Y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Z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A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B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I5" s="17" t="str">
        <f aca="false">IF(OR('Öğrenci Listesi'!B6="",AJ5=""),"",ROUND(AVERAGE(C5:AH5),2))</f>
        <v/>
      </c>
      <c r="AJ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I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J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K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L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M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N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O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P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Q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R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S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T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U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V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W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X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Y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Z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A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B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I6" s="17" t="str">
        <f aca="false">IF(OR('Öğrenci Listesi'!B7="",AJ6=""),"",ROUND(AVERAGE(C6:AH6),2))</f>
        <v/>
      </c>
      <c r="AJ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I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J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K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L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M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N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O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P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Q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R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S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T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U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V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W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X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Y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Z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A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B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I7" s="17" t="str">
        <f aca="false">IF(OR('Öğrenci Listesi'!B8="",AJ7=""),"",ROUND(AVERAGE(C7:AH7),2))</f>
        <v/>
      </c>
      <c r="AJ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I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J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K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L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M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N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O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P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Q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R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S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T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U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V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W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X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Y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Z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A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B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I8" s="17" t="str">
        <f aca="false">IF(OR('Öğrenci Listesi'!B9="",AJ8=""),"",ROUND(AVERAGE(C8:AH8),2))</f>
        <v/>
      </c>
      <c r="AJ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I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J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K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L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M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N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O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P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Q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R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S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T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U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V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W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X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Y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Z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A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B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I9" s="17" t="str">
        <f aca="false">IF(OR('Öğrenci Listesi'!B10="",AJ9=""),"",ROUND(AVERAGE(C9:AH9),2))</f>
        <v/>
      </c>
      <c r="AJ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I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J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K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L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M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N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O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P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Q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R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S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T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U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V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W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X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Y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Z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A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B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I10" s="17" t="str">
        <f aca="false">IF(OR('Öğrenci Listesi'!B11="",AJ10=""),"",ROUND(AVERAGE(C10:AH10),2))</f>
        <v/>
      </c>
      <c r="AJ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I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J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K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L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M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N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O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P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Q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R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S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T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U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V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W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X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Y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Z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A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B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I11" s="17" t="str">
        <f aca="false">IF(OR('Öğrenci Listesi'!B12="",AJ11=""),"",ROUND(AVERAGE(C11:AH11),2))</f>
        <v/>
      </c>
      <c r="AJ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I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J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K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L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M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N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O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P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Q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R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S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T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U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V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W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X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Y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Z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A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B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I12" s="17" t="str">
        <f aca="false">IF(OR('Öğrenci Listesi'!B13="",AJ12=""),"",ROUND(AVERAGE(C12:AH12),2))</f>
        <v/>
      </c>
      <c r="AJ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I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J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K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L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M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N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O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P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Q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R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S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T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U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V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W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X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Y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Z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A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B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I13" s="17" t="str">
        <f aca="false">IF(OR('Öğrenci Listesi'!B14="",AJ13=""),"",ROUND(AVERAGE(C13:AH13),2))</f>
        <v/>
      </c>
      <c r="AJ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I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J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K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L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M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N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O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P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Q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R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S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T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U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V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W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X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Y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Z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A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B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I14" s="17" t="str">
        <f aca="false">IF(OR('Öğrenci Listesi'!B15="",AJ14=""),"",ROUND(AVERAGE(C14:AH14),2))</f>
        <v/>
      </c>
      <c r="AJ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I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J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K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L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M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N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O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P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Q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R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S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T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U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V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W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X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Y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Z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A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B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I15" s="17" t="str">
        <f aca="false">IF(OR('Öğrenci Listesi'!B16="",AJ15=""),"",ROUND(AVERAGE(C15:AH15),2))</f>
        <v/>
      </c>
      <c r="AJ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I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J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K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L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M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N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O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P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Q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R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S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T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U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V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W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X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Y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Z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A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B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I16" s="17" t="str">
        <f aca="false">IF(OR('Öğrenci Listesi'!B17="",AJ16=""),"",ROUND(AVERAGE(C16:AH16),2))</f>
        <v/>
      </c>
      <c r="AJ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I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J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K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L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M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N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O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P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Q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R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S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T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U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V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W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X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Y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Z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A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B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I17" s="17" t="str">
        <f aca="false">IF(OR('Öğrenci Listesi'!B18="",AJ17=""),"",ROUND(AVERAGE(C17:AH17),2))</f>
        <v/>
      </c>
      <c r="AJ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I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J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K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L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M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N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O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P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Q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R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S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T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U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V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W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X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Y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Z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A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B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I18" s="17" t="str">
        <f aca="false">IF(OR('Öğrenci Listesi'!B19="",AJ18=""),"",ROUND(AVERAGE(C18:AH18),2))</f>
        <v/>
      </c>
      <c r="AJ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I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J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K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L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M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N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O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P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Q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R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S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T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U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V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W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X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Y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Z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A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B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I19" s="17" t="str">
        <f aca="false">IF(OR('Öğrenci Listesi'!B20="",AJ19=""),"",ROUND(AVERAGE(C19:AH19),2))</f>
        <v/>
      </c>
      <c r="AJ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I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J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K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L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M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N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O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P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Q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R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S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T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U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V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W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X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Y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Z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A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B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I20" s="17" t="str">
        <f aca="false">IF(OR('Öğrenci Listesi'!B21="",AJ20=""),"",ROUND(AVERAGE(C20:AH20),2))</f>
        <v/>
      </c>
      <c r="AJ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I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J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K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L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M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N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O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P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Q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R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S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T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U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V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W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X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Y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Z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A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B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I21" s="17" t="str">
        <f aca="false">IF(OR('Öğrenci Listesi'!B22="",AJ21=""),"",ROUND(AVERAGE(C21:AH21),2))</f>
        <v/>
      </c>
      <c r="AJ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I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J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K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L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M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N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O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P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Q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R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S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T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U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V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W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X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Y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Z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A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B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I22" s="17" t="str">
        <f aca="false">IF(OR('Öğrenci Listesi'!B23="",AJ22=""),"",ROUND(AVERAGE(C22:AH22),2))</f>
        <v/>
      </c>
      <c r="AJ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I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J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K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L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M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N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O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P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Q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R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S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T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U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V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W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X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Y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Z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A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B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I23" s="17" t="str">
        <f aca="false">IF(OR('Öğrenci Listesi'!B24="",AJ23=""),"",ROUND(AVERAGE(C23:AH23),2))</f>
        <v/>
      </c>
      <c r="AJ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I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J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K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L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M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N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O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P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Q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R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S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T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U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V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W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X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Y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Z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A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B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I24" s="17" t="str">
        <f aca="false">IF(OR('Öğrenci Listesi'!B25="",AJ24=""),"",ROUND(AVERAGE(C24:AH24),2))</f>
        <v/>
      </c>
      <c r="AJ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I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J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K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L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M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N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O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P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Q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R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S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T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U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V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W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X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Y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Z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A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B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I25" s="17" t="str">
        <f aca="false">IF(OR('Öğrenci Listesi'!B26="",AJ25=""),"",ROUND(AVERAGE(C25:AH25),2))</f>
        <v/>
      </c>
      <c r="AJ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I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J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K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L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M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N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O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P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Q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R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S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T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U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V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W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X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Y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Z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A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B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I26" s="17" t="str">
        <f aca="false">IF(OR('Öğrenci Listesi'!B27="",AJ26=""),"",ROUND(AVERAGE(C26:AH26),2))</f>
        <v/>
      </c>
      <c r="AJ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I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J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K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L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M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N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O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P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Q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R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S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T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U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V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W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X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Y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Z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A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B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I27" s="17" t="str">
        <f aca="false">IF(OR('Öğrenci Listesi'!B28="",AJ27=""),"",ROUND(AVERAGE(C27:AH27),2))</f>
        <v/>
      </c>
      <c r="AJ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I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J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K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L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M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N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O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P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Q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R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S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T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U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V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W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X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Y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Z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A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B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I28" s="17" t="str">
        <f aca="false">IF(OR('Öğrenci Listesi'!B29="",AJ28=""),"",ROUND(AVERAGE(C28:AH28),2))</f>
        <v/>
      </c>
      <c r="AJ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I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J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K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L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M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N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O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P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Q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R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S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T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U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V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W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X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Y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Z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A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B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I29" s="17" t="str">
        <f aca="false">IF(OR('Öğrenci Listesi'!B30="",AJ29=""),"",ROUND(AVERAGE(C29:AH29),2))</f>
        <v/>
      </c>
      <c r="AJ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I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J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K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L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M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N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O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P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Q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R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S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T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U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V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W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X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Y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Z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A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B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I30" s="17" t="str">
        <f aca="false">IF(OR('Öğrenci Listesi'!B31="",AJ30=""),"",ROUND(AVERAGE(C30:AH30),2))</f>
        <v/>
      </c>
      <c r="AJ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I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J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K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L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M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N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O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P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Q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R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S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T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U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V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W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X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Y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Z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A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B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I31" s="17" t="str">
        <f aca="false">IF(OR('Öğrenci Listesi'!B32="",AJ31=""),"",ROUND(AVERAGE(C31:AH31),2))</f>
        <v/>
      </c>
      <c r="AJ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I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J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K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L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M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N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O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P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Q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R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S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T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U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V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W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X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Y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Z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A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B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I32" s="17" t="str">
        <f aca="false">IF(OR('Öğrenci Listesi'!B33="",AJ32=""),"",ROUND(AVERAGE(C32:AH32),2))</f>
        <v/>
      </c>
      <c r="AJ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I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J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K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L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M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N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O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P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Q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R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S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T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U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V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W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X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Y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Z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A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B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I33" s="17" t="str">
        <f aca="false">IF(OR('Öğrenci Listesi'!B34="",AJ33=""),"",ROUND(AVERAGE(C33:AH33),2))</f>
        <v/>
      </c>
      <c r="AJ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I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J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K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L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M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N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O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P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Q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R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S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T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U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V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W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X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Y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Z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A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B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I34" s="17" t="str">
        <f aca="false">IF(OR('Öğrenci Listesi'!B35="",AJ34=""),"",ROUND(AVERAGE(C34:AH34),2))</f>
        <v/>
      </c>
      <c r="AJ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I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J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K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L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M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N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O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P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Q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R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S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T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U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V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W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X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Y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Z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A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B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I35" s="17" t="str">
        <f aca="false">IF(OR('Öğrenci Listesi'!B36="",AJ35=""),"",ROUND(AVERAGE(C35:AH35),2))</f>
        <v/>
      </c>
      <c r="AJ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I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J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K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L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M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N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O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P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Q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R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S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T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U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V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W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X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Y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Z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A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B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I36" s="17" t="str">
        <f aca="false">IF(OR('Öğrenci Listesi'!B37="",AJ36=""),"",ROUND(AVERAGE(C36:AH36),2))</f>
        <v/>
      </c>
      <c r="AJ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I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J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K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L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M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N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O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P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Q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R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S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T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U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V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W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X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Y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Z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A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B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I37" s="17" t="str">
        <f aca="false">IF(OR('Öğrenci Listesi'!B38="",AJ37=""),"",ROUND(AVERAGE(C37:AH37),2))</f>
        <v/>
      </c>
      <c r="AJ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I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J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K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L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M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N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O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P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Q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R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S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T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U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V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W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X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Y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Z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A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B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I38" s="17" t="str">
        <f aca="false">IF(OR('Öğrenci Listesi'!B39="",AJ38=""),"",ROUND(AVERAGE(C38:AH38),2))</f>
        <v/>
      </c>
      <c r="AJ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I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J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K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L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M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N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O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P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Q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R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S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T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U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V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W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X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Y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Z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A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B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I39" s="17" t="str">
        <f aca="false">IF(OR('Öğrenci Listesi'!B40="",AJ39=""),"",ROUND(AVERAGE(C39:AH39),2))</f>
        <v/>
      </c>
      <c r="AJ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I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J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K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L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M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N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O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P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Q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R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S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T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U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V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W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X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Y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Z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A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B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I40" s="17" t="str">
        <f aca="false">IF(OR('Öğrenci Listesi'!B41="",AJ40=""),"",ROUND(AVERAGE(C40:AH40),2))</f>
        <v/>
      </c>
      <c r="AJ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I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J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K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L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M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N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O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P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Q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R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S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T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U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V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W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X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Y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Z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A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B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I41" s="17" t="str">
        <f aca="false">IF(OR('Öğrenci Listesi'!B42="",AJ41=""),"",ROUND(AVERAGE(C41:AH41),2))</f>
        <v/>
      </c>
      <c r="AJ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I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J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K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L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M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N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O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P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Q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R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S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T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U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V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W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X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Y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Z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A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B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I42" s="17" t="str">
        <f aca="false">IF(OR('Öğrenci Listesi'!B43="",AJ42=""),"",ROUND(AVERAGE(C42:AH42),2))</f>
        <v/>
      </c>
      <c r="AJ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I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J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K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L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M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N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O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P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Q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R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S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T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U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V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W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X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Y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Z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A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B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I43" s="17" t="str">
        <f aca="false">IF(OR('Öğrenci Listesi'!B44="",AJ43=""),"",ROUND(AVERAGE(C43:AH43),2))</f>
        <v/>
      </c>
      <c r="AJ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I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J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K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L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M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N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O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P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Q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R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S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T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U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V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W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X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Y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Z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A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B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I44" s="17" t="str">
        <f aca="false">IF(OR('Öğrenci Listesi'!B45="",AJ44=""),"",ROUND(AVERAGE(C44:AH44),2))</f>
        <v/>
      </c>
      <c r="AJ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56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 t="s">
        <v>9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 t="n">
        <f aca="false">Bilgiler!B10</f>
        <v>0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</sheetData>
  <mergeCells count="7">
    <mergeCell ref="A1:AJ1"/>
    <mergeCell ref="A2:AJ2"/>
    <mergeCell ref="A45:AJ45"/>
    <mergeCell ref="A46:R46"/>
    <mergeCell ref="S46:AJ46"/>
    <mergeCell ref="A48:R48"/>
    <mergeCell ref="S48:AJ48"/>
  </mergeCells>
  <conditionalFormatting sqref="AJ5:AJ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I5:AI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AND(AI5&gt;=2,AI5&lt;3)</formula>
    </cfRule>
    <cfRule type="expression" priority="8" aboveAverage="0" equalAverage="0" bottom="0" percent="0" rank="0" text="" dxfId="2">
      <formula>AND(AI5&gt;=1.5,AI5&lt;2)</formula>
    </cfRule>
    <cfRule type="expression" priority="9" aboveAverage="0" equalAverage="0" bottom="0" percent="0" rank="0" text="" dxfId="3">
      <formula>AND(AI5&gt;0,AI5&lt;1.5)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2026-05-08T21:24:48Z</dcterms:created>
  <dc:creator>openpyxl</dc:creator>
  <dc:description/>
  <dc:language>en-US</dc:language>
  <cp:lastModifiedBy/>
  <dcterms:modified xsi:type="dcterms:W3CDTF">2026-05-08T21:24:48Z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