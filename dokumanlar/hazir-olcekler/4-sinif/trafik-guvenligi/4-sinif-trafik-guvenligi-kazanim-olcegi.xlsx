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giler" sheetId="1" state="visible" r:id="rId3"/>
    <sheet name="Öğrenci Listesi" sheetId="2" state="visible" r:id="rId4"/>
    <sheet name="Ölçek" sheetId="3" state="visible" r:id="rId5"/>
  </sheets>
  <definedNames>
    <definedName function="false" hidden="false" localSheetId="2" name="_xlnm.Print_Area" vbProcedure="false">Ölçek!$A$1:$Y$48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<sst xmlns="http://schemas.openxmlformats.org/spreadsheetml/2006/main" count="48" uniqueCount="46">
  <si>
    <t xml:space="preserve">📝 BİLGİLERİ DOLDURUNUZ</t>
  </si>
  <si>
    <t xml:space="preserve">Aşağıdaki bilgileri kendi okulunuza ve sınıfınıza göre doldurun. 'Ölçek' sayfasındaki başlıklar otomatik güncellenecek.</t>
  </si>
  <si>
    <t xml:space="preserve">Okul Adı</t>
  </si>
  <si>
    <t xml:space="preserve">Eğitim Öğretim Yılı</t>
  </si>
  <si>
    <t xml:space="preserve">Sınıf / Şube</t>
  </si>
  <si>
    <t xml:space="preserve">Dönem</t>
  </si>
  <si>
    <t xml:space="preserve">Ders</t>
  </si>
  <si>
    <t xml:space="preserve">Trafik Güvenliği</t>
  </si>
  <si>
    <t xml:space="preserve">Sınıf Öğretmeni</t>
  </si>
  <si>
    <t xml:space="preserve">Okul Müdürü</t>
  </si>
  <si>
    <t xml:space="preserve">📋 SİSTEMDEN ÖĞRENCİ LİSTESİNİ BURAYA YAPIŞTIRIN</t>
  </si>
  <si>
    <t xml:space="preserve">Sistemde notları işaretledikten sonra tüm tabloyu kopyalayın (Ctrl+C), aşağıdaki sarı alana yapıştırın (Ctrl+V).</t>
  </si>
  <si>
    <t xml:space="preserve">✓ Öğrenci adları, numaraları ve seviyeler 'Ölçek' sayfasına otomatik aktarılacak.</t>
  </si>
  <si>
    <t xml:space="preserve">NO</t>
  </si>
  <si>
    <t xml:space="preserve">ADI SOYADI</t>
  </si>
  <si>
    <t xml:space="preserve">Geliştirilmeli</t>
  </si>
  <si>
    <t xml:space="preserve">Yeterli</t>
  </si>
  <si>
    <t xml:space="preserve">İyi</t>
  </si>
  <si>
    <t xml:space="preserve">Çok İyi</t>
  </si>
  <si>
    <t xml:space="preserve">SONUÇ</t>
  </si>
  <si>
    <t xml:space="preserve">(yok sayılır)</t>
  </si>
  <si>
    <t xml:space="preserve">ADI VE SOYADI</t>
  </si>
  <si>
    <t xml:space="preserve">Trafikte kendisinin ve başkalarının hayatının önemli olduğunu fark eder</t>
  </si>
  <si>
    <t xml:space="preserve">Trafikle ilgili temel kavramları açıklar</t>
  </si>
  <si>
    <t xml:space="preserve">Trafik işaretleri ve işaret levhalarının önemini araştırır</t>
  </si>
  <si>
    <t xml:space="preserve">Yaya olarak trafik kurallarına uyar</t>
  </si>
  <si>
    <t xml:space="preserve">Günlük yaşantısında çevresindeki güvenli yolları kullanır</t>
  </si>
  <si>
    <t xml:space="preserve">Taşıt trafiğine kapalı alanlarda oyun araçlarını güvenli kullanır</t>
  </si>
  <si>
    <t xml:space="preserve">Ulaşım araçlarını çeşitli özellikleri açısından karşılaştırır</t>
  </si>
  <si>
    <t xml:space="preserve">Trafikte geçiş üstünlüğü olan taşıtları tanır</t>
  </si>
  <si>
    <t xml:space="preserve">Trafikle ilgili meslekleri ve kurumları araştırır</t>
  </si>
  <si>
    <t xml:space="preserve">Trafikte toplu taşıma araçlarını kullanmanın önemini kavrar</t>
  </si>
  <si>
    <t xml:space="preserve">Taşıtlara binerken, taşıtlardan inerken ve taşıtlarda yolculuk ederken kurallara uyar</t>
  </si>
  <si>
    <t xml:space="preserve">Trafikte karşılaşılabilecek tehlikelere örnekler verir</t>
  </si>
  <si>
    <t xml:space="preserve">Trafikte karşılaşabileceği tehlikelere karşı alınması gereken önlemleri nedenleriyle açıklar</t>
  </si>
  <si>
    <t xml:space="preserve">Taşıt trafiğinde tehlikeli hareketlerden kaçınır</t>
  </si>
  <si>
    <t xml:space="preserve">Trafikte sorumlu, saygılı ve sabırlı olmanın gerekliliğini sorgular</t>
  </si>
  <si>
    <t xml:space="preserve">Trafik kurallarına uymanın birey ve toplum hayatına etkilerini tartışır</t>
  </si>
  <si>
    <t xml:space="preserve">Trafik kurallarının etkin bir şekilde uygulanmasına yönelik önerilerde bulunur</t>
  </si>
  <si>
    <t xml:space="preserve">Taşıtlarda bulunması gereken ilk yardım malzemelerini tanır</t>
  </si>
  <si>
    <t xml:space="preserve">Trafikte ilk yardım gerektiren durumlarda kimlerden ve nasıl yardım istenmesi gerektiğini açıklar</t>
  </si>
  <si>
    <t xml:space="preserve">İlk yardım uygulamalarında doğru müdahalenin önemini tartışır</t>
  </si>
  <si>
    <t xml:space="preserve">Hafif yaralanmalarda yapılacak ilk yardım uygulamalarını araştırır</t>
  </si>
  <si>
    <t xml:space="preserve">ORTALAMA</t>
  </si>
  <si>
    <t xml:space="preserve">SEVİYE</t>
  </si>
  <si>
    <t xml:space="preserve">DEĞERLENDİRME ÖLÇEĞİ:  4 = Çok İyi  •  3 = İyi  •  2 = Yeterli  •  1 = Geliştirilmeli  |  💡 Öğrenci sayınız azsa boş satırları seçip silin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</si>
</sst>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7871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78716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6"/>
      <color rgb="FFFFFFFF"/>
      <name val="Arial"/>
      <family val="0"/>
      <charset val="1"/>
    </font>
    <font>
      <sz val="7"/>
      <name val="Arial"/>
      <family val="0"/>
      <charset val="1"/>
    </font>
    <font>
      <b val="true"/>
      <sz val="7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E7F3FF"/>
        <bgColor rgb="FFF5F5F4"/>
      </patternFill>
    </fill>
    <fill>
      <patternFill patternType="solid">
        <fgColor rgb="FFFFF8E7"/>
        <bgColor rgb="FFF5F5F4"/>
      </patternFill>
    </fill>
    <fill>
      <patternFill patternType="solid">
        <fgColor rgb="FFF5F5F4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16C"/>
      <rgbColor rgb="FF9999FF"/>
      <rgbColor rgb="FF993366"/>
      <rgbColor rgb="FFFFF8E7"/>
      <rgbColor rgb="FFE7F3FF"/>
      <rgbColor rgb="FF660066"/>
      <rgbColor rgb="FFFF8080"/>
      <rgbColor rgb="FF0066CC"/>
      <rgbColor rgb="FFF5F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30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/>
    </row>
    <row r="5" customFormat="false" ht="27.75" hidden="false" customHeight="true" outlineLevel="0" collapsed="false">
      <c r="A5" s="3" t="s">
        <v>3</v>
      </c>
      <c r="B5" s="4"/>
    </row>
    <row r="6" customFormat="false" ht="27.75" hidden="false" customHeight="true" outlineLevel="0" collapsed="false">
      <c r="A6" s="3" t="s">
        <v>4</v>
      </c>
      <c r="B6" s="4"/>
    </row>
    <row r="7" customFormat="false" ht="27.75" hidden="false" customHeight="true" outlineLevel="0" collapsed="false">
      <c r="A7" s="3" t="s">
        <v>5</v>
      </c>
      <c r="B7" s="4"/>
    </row>
    <row r="8" customFormat="false" ht="27.75" hidden="false" customHeight="true" outlineLevel="0" collapsed="false">
      <c r="A8" s="3" t="s">
        <v>6</v>
      </c>
      <c r="B8" s="4" t="s">
        <v>7</v>
      </c>
    </row>
    <row r="9" customFormat="false" ht="27.75" hidden="false" customHeight="true" outlineLevel="0" collapsed="false">
      <c r="A9" s="3" t="s">
        <v>8</v>
      </c>
      <c r="B9" s="4"/>
    </row>
    <row r="10" customFormat="false" ht="27.75" hidden="false" customHeight="true" outlineLevel="0" collapsed="false">
      <c r="A10" s="3" t="s">
        <v>9</v>
      </c>
      <c r="B10" s="4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6" min="3" style="0" width="13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5" t="s">
        <v>11</v>
      </c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6" t="s">
        <v>12</v>
      </c>
      <c r="B3" s="6"/>
      <c r="C3" s="6"/>
      <c r="D3" s="6"/>
      <c r="E3" s="6"/>
      <c r="F3" s="6"/>
      <c r="G3" s="6"/>
      <c r="H3" s="6"/>
    </row>
    <row r="5" customFormat="false" ht="21.75" hidden="false" customHeight="true" outlineLevel="0" collapsed="false">
      <c r="A5" s="7" t="s">
        <v>13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19</v>
      </c>
      <c r="H5" s="7" t="s">
        <v>20</v>
      </c>
    </row>
    <row r="6" customFormat="false" ht="18" hidden="false" customHeight="true" outlineLevel="0" collapsed="false">
      <c r="A6" s="8"/>
      <c r="B6" s="9"/>
      <c r="C6" s="10"/>
      <c r="D6" s="10"/>
      <c r="E6" s="10"/>
      <c r="F6" s="10"/>
      <c r="G6" s="8"/>
      <c r="H6" s="10"/>
    </row>
    <row r="7" customFormat="false" ht="18" hidden="false" customHeight="true" outlineLevel="0" collapsed="false">
      <c r="A7" s="8"/>
      <c r="B7" s="9"/>
      <c r="C7" s="10"/>
      <c r="D7" s="10"/>
      <c r="E7" s="10"/>
      <c r="F7" s="10"/>
      <c r="G7" s="8"/>
      <c r="H7" s="10"/>
    </row>
    <row r="8" customFormat="false" ht="18" hidden="false" customHeight="true" outlineLevel="0" collapsed="false">
      <c r="A8" s="8"/>
      <c r="B8" s="9"/>
      <c r="C8" s="10"/>
      <c r="D8" s="10"/>
      <c r="E8" s="10"/>
      <c r="F8" s="10"/>
      <c r="G8" s="8"/>
      <c r="H8" s="10"/>
    </row>
    <row r="9" customFormat="false" ht="18" hidden="false" customHeight="true" outlineLevel="0" collapsed="false">
      <c r="A9" s="8"/>
      <c r="B9" s="9"/>
      <c r="C9" s="10"/>
      <c r="D9" s="10"/>
      <c r="E9" s="10"/>
      <c r="F9" s="10"/>
      <c r="G9" s="8"/>
      <c r="H9" s="10"/>
    </row>
    <row r="10" customFormat="false" ht="18" hidden="false" customHeight="true" outlineLevel="0" collapsed="false">
      <c r="A10" s="8"/>
      <c r="B10" s="9"/>
      <c r="C10" s="10"/>
      <c r="D10" s="10"/>
      <c r="E10" s="10"/>
      <c r="F10" s="10"/>
      <c r="G10" s="8"/>
      <c r="H10" s="10"/>
    </row>
    <row r="11" customFormat="false" ht="18" hidden="false" customHeight="true" outlineLevel="0" collapsed="false">
      <c r="A11" s="8"/>
      <c r="B11" s="9"/>
      <c r="C11" s="10"/>
      <c r="D11" s="10"/>
      <c r="E11" s="10"/>
      <c r="F11" s="10"/>
      <c r="G11" s="8"/>
      <c r="H11" s="10"/>
    </row>
    <row r="12" customFormat="false" ht="18" hidden="false" customHeight="true" outlineLevel="0" collapsed="false">
      <c r="A12" s="8"/>
      <c r="B12" s="9"/>
      <c r="C12" s="10"/>
      <c r="D12" s="10"/>
      <c r="E12" s="10"/>
      <c r="F12" s="10"/>
      <c r="G12" s="8"/>
      <c r="H12" s="10"/>
    </row>
    <row r="13" customFormat="false" ht="18" hidden="false" customHeight="true" outlineLevel="0" collapsed="false">
      <c r="A13" s="8"/>
      <c r="B13" s="9"/>
      <c r="C13" s="10"/>
      <c r="D13" s="10"/>
      <c r="E13" s="10"/>
      <c r="F13" s="10"/>
      <c r="G13" s="8"/>
      <c r="H13" s="10"/>
    </row>
    <row r="14" customFormat="false" ht="18" hidden="false" customHeight="true" outlineLevel="0" collapsed="false">
      <c r="A14" s="8"/>
      <c r="B14" s="9"/>
      <c r="C14" s="10"/>
      <c r="D14" s="10"/>
      <c r="E14" s="10"/>
      <c r="F14" s="10"/>
      <c r="G14" s="8"/>
      <c r="H14" s="10"/>
    </row>
    <row r="15" customFormat="false" ht="18" hidden="false" customHeight="true" outlineLevel="0" collapsed="false">
      <c r="A15" s="8"/>
      <c r="B15" s="9"/>
      <c r="C15" s="10"/>
      <c r="D15" s="10"/>
      <c r="E15" s="10"/>
      <c r="F15" s="10"/>
      <c r="G15" s="8"/>
      <c r="H15" s="10"/>
    </row>
    <row r="16" customFormat="false" ht="18" hidden="false" customHeight="true" outlineLevel="0" collapsed="false">
      <c r="A16" s="8"/>
      <c r="B16" s="9"/>
      <c r="C16" s="10"/>
      <c r="D16" s="10"/>
      <c r="E16" s="10"/>
      <c r="F16" s="10"/>
      <c r="G16" s="8"/>
      <c r="H16" s="10"/>
    </row>
    <row r="17" customFormat="false" ht="18" hidden="false" customHeight="true" outlineLevel="0" collapsed="false">
      <c r="A17" s="8"/>
      <c r="B17" s="9"/>
      <c r="C17" s="10"/>
      <c r="D17" s="10"/>
      <c r="E17" s="10"/>
      <c r="F17" s="10"/>
      <c r="G17" s="8"/>
      <c r="H17" s="10"/>
    </row>
    <row r="18" customFormat="false" ht="18" hidden="false" customHeight="true" outlineLevel="0" collapsed="false">
      <c r="A18" s="8"/>
      <c r="B18" s="9"/>
      <c r="C18" s="10"/>
      <c r="D18" s="10"/>
      <c r="E18" s="10"/>
      <c r="F18" s="10"/>
      <c r="G18" s="8"/>
      <c r="H18" s="10"/>
    </row>
    <row r="19" customFormat="false" ht="18" hidden="false" customHeight="true" outlineLevel="0" collapsed="false">
      <c r="A19" s="8"/>
      <c r="B19" s="9"/>
      <c r="C19" s="10"/>
      <c r="D19" s="10"/>
      <c r="E19" s="10"/>
      <c r="F19" s="10"/>
      <c r="G19" s="8"/>
      <c r="H19" s="10"/>
    </row>
    <row r="20" customFormat="false" ht="18" hidden="false" customHeight="true" outlineLevel="0" collapsed="false">
      <c r="A20" s="8"/>
      <c r="B20" s="9"/>
      <c r="C20" s="10"/>
      <c r="D20" s="10"/>
      <c r="E20" s="10"/>
      <c r="F20" s="10"/>
      <c r="G20" s="8"/>
      <c r="H20" s="10"/>
    </row>
    <row r="21" customFormat="false" ht="18" hidden="false" customHeight="true" outlineLevel="0" collapsed="false">
      <c r="A21" s="8"/>
      <c r="B21" s="9"/>
      <c r="C21" s="10"/>
      <c r="D21" s="10"/>
      <c r="E21" s="10"/>
      <c r="F21" s="10"/>
      <c r="G21" s="8"/>
      <c r="H21" s="10"/>
    </row>
    <row r="22" customFormat="false" ht="18" hidden="false" customHeight="true" outlineLevel="0" collapsed="false">
      <c r="A22" s="8"/>
      <c r="B22" s="9"/>
      <c r="C22" s="10"/>
      <c r="D22" s="10"/>
      <c r="E22" s="10"/>
      <c r="F22" s="10"/>
      <c r="G22" s="8"/>
      <c r="H22" s="10"/>
    </row>
    <row r="23" customFormat="false" ht="18" hidden="false" customHeight="true" outlineLevel="0" collapsed="false">
      <c r="A23" s="8"/>
      <c r="B23" s="9"/>
      <c r="C23" s="10"/>
      <c r="D23" s="10"/>
      <c r="E23" s="10"/>
      <c r="F23" s="10"/>
      <c r="G23" s="8"/>
      <c r="H23" s="10"/>
    </row>
    <row r="24" customFormat="false" ht="18" hidden="false" customHeight="true" outlineLevel="0" collapsed="false">
      <c r="A24" s="8"/>
      <c r="B24" s="9"/>
      <c r="C24" s="10"/>
      <c r="D24" s="10"/>
      <c r="E24" s="10"/>
      <c r="F24" s="10"/>
      <c r="G24" s="8"/>
      <c r="H24" s="10"/>
    </row>
    <row r="25" customFormat="false" ht="18" hidden="false" customHeight="true" outlineLevel="0" collapsed="false">
      <c r="A25" s="8"/>
      <c r="B25" s="9"/>
      <c r="C25" s="10"/>
      <c r="D25" s="10"/>
      <c r="E25" s="10"/>
      <c r="F25" s="10"/>
      <c r="G25" s="8"/>
      <c r="H25" s="10"/>
    </row>
    <row r="26" customFormat="false" ht="18" hidden="false" customHeight="true" outlineLevel="0" collapsed="false">
      <c r="A26" s="8"/>
      <c r="B26" s="9"/>
      <c r="C26" s="10"/>
      <c r="D26" s="10"/>
      <c r="E26" s="10"/>
      <c r="F26" s="10"/>
      <c r="G26" s="8"/>
      <c r="H26" s="10"/>
    </row>
    <row r="27" customFormat="false" ht="18" hidden="false" customHeight="true" outlineLevel="0" collapsed="false">
      <c r="A27" s="8"/>
      <c r="B27" s="9"/>
      <c r="C27" s="10"/>
      <c r="D27" s="10"/>
      <c r="E27" s="10"/>
      <c r="F27" s="10"/>
      <c r="G27" s="8"/>
      <c r="H27" s="10"/>
    </row>
    <row r="28" customFormat="false" ht="18" hidden="false" customHeight="true" outlineLevel="0" collapsed="false">
      <c r="A28" s="8"/>
      <c r="B28" s="9"/>
      <c r="C28" s="10"/>
      <c r="D28" s="10"/>
      <c r="E28" s="10"/>
      <c r="F28" s="10"/>
      <c r="G28" s="8"/>
      <c r="H28" s="10"/>
    </row>
    <row r="29" customFormat="false" ht="18" hidden="false" customHeight="true" outlineLevel="0" collapsed="false">
      <c r="A29" s="8"/>
      <c r="B29" s="9"/>
      <c r="C29" s="10"/>
      <c r="D29" s="10"/>
      <c r="E29" s="10"/>
      <c r="F29" s="10"/>
      <c r="G29" s="8"/>
      <c r="H29" s="10"/>
    </row>
    <row r="30" customFormat="false" ht="18" hidden="false" customHeight="true" outlineLevel="0" collapsed="false">
      <c r="A30" s="8"/>
      <c r="B30" s="9"/>
      <c r="C30" s="10"/>
      <c r="D30" s="10"/>
      <c r="E30" s="10"/>
      <c r="F30" s="10"/>
      <c r="G30" s="8"/>
      <c r="H30" s="10"/>
    </row>
    <row r="31" customFormat="false" ht="18" hidden="false" customHeight="true" outlineLevel="0" collapsed="false">
      <c r="A31" s="8"/>
      <c r="B31" s="9"/>
      <c r="C31" s="10"/>
      <c r="D31" s="10"/>
      <c r="E31" s="10"/>
      <c r="F31" s="10"/>
      <c r="G31" s="8"/>
      <c r="H31" s="10"/>
    </row>
    <row r="32" customFormat="false" ht="18" hidden="false" customHeight="true" outlineLevel="0" collapsed="false">
      <c r="A32" s="8"/>
      <c r="B32" s="9"/>
      <c r="C32" s="10"/>
      <c r="D32" s="10"/>
      <c r="E32" s="10"/>
      <c r="F32" s="10"/>
      <c r="G32" s="8"/>
      <c r="H32" s="10"/>
    </row>
    <row r="33" customFormat="false" ht="18" hidden="false" customHeight="true" outlineLevel="0" collapsed="false">
      <c r="A33" s="8"/>
      <c r="B33" s="9"/>
      <c r="C33" s="10"/>
      <c r="D33" s="10"/>
      <c r="E33" s="10"/>
      <c r="F33" s="10"/>
      <c r="G33" s="8"/>
      <c r="H33" s="10"/>
    </row>
    <row r="34" customFormat="false" ht="18" hidden="false" customHeight="true" outlineLevel="0" collapsed="false">
      <c r="A34" s="8"/>
      <c r="B34" s="9"/>
      <c r="C34" s="10"/>
      <c r="D34" s="10"/>
      <c r="E34" s="10"/>
      <c r="F34" s="10"/>
      <c r="G34" s="8"/>
      <c r="H34" s="10"/>
    </row>
    <row r="35" customFormat="false" ht="18" hidden="false" customHeight="true" outlineLevel="0" collapsed="false">
      <c r="A35" s="8"/>
      <c r="B35" s="9"/>
      <c r="C35" s="10"/>
      <c r="D35" s="10"/>
      <c r="E35" s="10"/>
      <c r="F35" s="10"/>
      <c r="G35" s="8"/>
      <c r="H35" s="10"/>
    </row>
    <row r="36" customFormat="false" ht="18" hidden="false" customHeight="true" outlineLevel="0" collapsed="false">
      <c r="A36" s="8"/>
      <c r="B36" s="9"/>
      <c r="C36" s="10"/>
      <c r="D36" s="10"/>
      <c r="E36" s="10"/>
      <c r="F36" s="10"/>
      <c r="G36" s="8"/>
      <c r="H36" s="10"/>
    </row>
    <row r="37" customFormat="false" ht="18" hidden="false" customHeight="true" outlineLevel="0" collapsed="false">
      <c r="A37" s="8"/>
      <c r="B37" s="9"/>
      <c r="C37" s="10"/>
      <c r="D37" s="10"/>
      <c r="E37" s="10"/>
      <c r="F37" s="10"/>
      <c r="G37" s="8"/>
      <c r="H37" s="10"/>
    </row>
    <row r="38" customFormat="false" ht="18" hidden="false" customHeight="true" outlineLevel="0" collapsed="false">
      <c r="A38" s="8"/>
      <c r="B38" s="9"/>
      <c r="C38" s="10"/>
      <c r="D38" s="10"/>
      <c r="E38" s="10"/>
      <c r="F38" s="10"/>
      <c r="G38" s="8"/>
      <c r="H38" s="10"/>
    </row>
    <row r="39" customFormat="false" ht="18" hidden="false" customHeight="true" outlineLevel="0" collapsed="false">
      <c r="A39" s="8"/>
      <c r="B39" s="9"/>
      <c r="C39" s="10"/>
      <c r="D39" s="10"/>
      <c r="E39" s="10"/>
      <c r="F39" s="10"/>
      <c r="G39" s="8"/>
      <c r="H39" s="10"/>
    </row>
    <row r="40" customFormat="false" ht="18" hidden="false" customHeight="true" outlineLevel="0" collapsed="false">
      <c r="A40" s="8"/>
      <c r="B40" s="9"/>
      <c r="C40" s="10"/>
      <c r="D40" s="10"/>
      <c r="E40" s="10"/>
      <c r="F40" s="10"/>
      <c r="G40" s="8"/>
      <c r="H40" s="10"/>
    </row>
    <row r="41" customFormat="false" ht="18" hidden="false" customHeight="true" outlineLevel="0" collapsed="false">
      <c r="A41" s="8"/>
      <c r="B41" s="9"/>
      <c r="C41" s="10"/>
      <c r="D41" s="10"/>
      <c r="E41" s="10"/>
      <c r="F41" s="10"/>
      <c r="G41" s="8"/>
      <c r="H41" s="10"/>
    </row>
    <row r="42" customFormat="false" ht="18" hidden="false" customHeight="true" outlineLevel="0" collapsed="false">
      <c r="A42" s="8"/>
      <c r="B42" s="9"/>
      <c r="C42" s="10"/>
      <c r="D42" s="10"/>
      <c r="E42" s="10"/>
      <c r="F42" s="10"/>
      <c r="G42" s="8"/>
      <c r="H42" s="10"/>
    </row>
    <row r="43" customFormat="false" ht="18" hidden="false" customHeight="true" outlineLevel="0" collapsed="false">
      <c r="A43" s="8"/>
      <c r="B43" s="9"/>
      <c r="C43" s="10"/>
      <c r="D43" s="10"/>
      <c r="E43" s="10"/>
      <c r="F43" s="10"/>
      <c r="G43" s="8"/>
      <c r="H43" s="10"/>
    </row>
    <row r="44" customFormat="false" ht="18" hidden="false" customHeight="true" outlineLevel="0" collapsed="false">
      <c r="A44" s="8"/>
      <c r="B44" s="9"/>
      <c r="C44" s="10"/>
      <c r="D44" s="10"/>
      <c r="E44" s="10"/>
      <c r="F44" s="10"/>
      <c r="G44" s="8"/>
      <c r="H44" s="10"/>
    </row>
    <row r="45" customFormat="false" ht="18" hidden="false" customHeight="true" outlineLevel="0" collapsed="false">
      <c r="A45" s="8"/>
      <c r="B45" s="9"/>
      <c r="C45" s="10"/>
      <c r="D45" s="10"/>
      <c r="E45" s="10"/>
      <c r="F45" s="10"/>
      <c r="G45" s="8"/>
      <c r="H45" s="10"/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5"/>
    <col collapsed="false" customWidth="true" hidden="false" outlineLevel="0" max="2" min="2" style="0" width="16"/>
    <col collapsed="false" customWidth="true" hidden="false" outlineLevel="0" max="23" min="3" style="0" width="4"/>
    <col collapsed="false" customWidth="true" hidden="false" outlineLevel="0" max="24" min="24" style="0" width="9"/>
    <col collapsed="false" customWidth="true" hidden="false" outlineLevel="0" max="25" min="25" style="0" width="13"/>
  </cols>
  <sheetData>
    <row r="1" customFormat="false" ht="13.5" hidden="false" customHeight="true" outlineLevel="0" collapsed="false">
      <c r="A1" s="11" t="str">
        <f aca="false">Bilgiler!B4&amp;" • "&amp;Bilgiler!B5&amp;" EĞİTİM ÖĞRETİM YILI"</f>
        <v> •  EĞİTİM ÖĞRETİM YILI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3.5" hidden="false" customHeight="true" outlineLevel="0" collapsed="false">
      <c r="A2" s="11" t="str">
        <f aca="false">Bilgiler!B6&amp;" SINIFI "&amp;Bilgiler!B7&amp;" "&amp;Bilgiler!B8&amp;" DERSİ KAZANIM DEĞERLENDİRME ÖLÇEĞİ"</f>
        <v> SINIFI  Trafik Güvenliği DERSİ KAZANIM DEĞERLENDİRME ÖLÇEĞİ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4" customFormat="false" ht="129.75" hidden="false" customHeight="true" outlineLevel="0" collapsed="false">
      <c r="A4" s="12" t="s">
        <v>13</v>
      </c>
      <c r="B4" s="12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 t="s">
        <v>28</v>
      </c>
      <c r="J4" s="13" t="s">
        <v>29</v>
      </c>
      <c r="K4" s="13" t="s">
        <v>30</v>
      </c>
      <c r="L4" s="13" t="s">
        <v>31</v>
      </c>
      <c r="M4" s="13" t="s">
        <v>32</v>
      </c>
      <c r="N4" s="13" t="s">
        <v>33</v>
      </c>
      <c r="O4" s="13" t="s">
        <v>34</v>
      </c>
      <c r="P4" s="13" t="s">
        <v>35</v>
      </c>
      <c r="Q4" s="13" t="s">
        <v>36</v>
      </c>
      <c r="R4" s="13" t="s">
        <v>37</v>
      </c>
      <c r="S4" s="13" t="s">
        <v>38</v>
      </c>
      <c r="T4" s="13" t="s">
        <v>39</v>
      </c>
      <c r="U4" s="13" t="s">
        <v>40</v>
      </c>
      <c r="V4" s="13" t="s">
        <v>41</v>
      </c>
      <c r="W4" s="13" t="s">
        <v>42</v>
      </c>
      <c r="X4" s="12" t="s">
        <v>43</v>
      </c>
      <c r="Y4" s="12" t="s">
        <v>44</v>
      </c>
    </row>
    <row r="5" customFormat="false" ht="9" hidden="false" customHeight="true" outlineLevel="0" collapsed="false">
      <c r="A5" s="14" t="str">
        <f aca="false">IFERROR(IF('Öğrenci Listesi'!A6="","",'Öğrenci Listesi'!A6),"")</f>
        <v/>
      </c>
      <c r="B5" s="15" t="str">
        <f aca="false">IFERROR(IF('Öğrenci Listesi'!B6="","",'Öğrenci Listesi'!B6),"")</f>
        <v/>
      </c>
      <c r="C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D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E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F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G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H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I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J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K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L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M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N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O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P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Q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R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S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T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U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V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W5" s="16" t="str">
        <f aca="false">IF(OR('Öğrenci Listesi'!B6="",Y5=""),"",IF(Y5="Çok İyi",CHOOSE(RANDBETWEEN(1,5),4,4,4,4,3),IF(Y5="İyi",CHOOSE(RANDBETWEEN(1,5),3,3,3,4,2),IF(Y5="Yeterli",CHOOSE(RANDBETWEEN(1,5),2,2,2,3,1),IF(Y5="Geliştirilmeli",CHOOSE(RANDBETWEEN(1,5),1,1,1,1,2),"")))))</f>
        <v/>
      </c>
      <c r="X5" s="17" t="str">
        <f aca="false">IF(OR('Öğrenci Listesi'!B6="",Y5=""),"",ROUND(AVERAGE(C5:W5),2))</f>
        <v/>
      </c>
      <c r="Y5" s="18" t="str">
        <f aca="false"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customFormat="false" ht="9" hidden="false" customHeight="true" outlineLevel="0" collapsed="false">
      <c r="A6" s="14" t="str">
        <f aca="false">IFERROR(IF('Öğrenci Listesi'!A7="","",'Öğrenci Listesi'!A7),"")</f>
        <v/>
      </c>
      <c r="B6" s="15" t="str">
        <f aca="false">IFERROR(IF('Öğrenci Listesi'!B7="","",'Öğrenci Listesi'!B7),"")</f>
        <v/>
      </c>
      <c r="C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D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E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F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G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H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I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J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K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L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M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N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O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P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Q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R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S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T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U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V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W6" s="16" t="str">
        <f aca="false">IF(OR('Öğrenci Listesi'!B7="",Y6=""),"",IF(Y6="Çok İyi",CHOOSE(RANDBETWEEN(1,5),4,4,4,4,3),IF(Y6="İyi",CHOOSE(RANDBETWEEN(1,5),3,3,3,4,2),IF(Y6="Yeterli",CHOOSE(RANDBETWEEN(1,5),2,2,2,3,1),IF(Y6="Geliştirilmeli",CHOOSE(RANDBETWEEN(1,5),1,1,1,1,2),"")))))</f>
        <v/>
      </c>
      <c r="X6" s="17" t="str">
        <f aca="false">IF(OR('Öğrenci Listesi'!B7="",Y6=""),"",ROUND(AVERAGE(C6:W6),2))</f>
        <v/>
      </c>
      <c r="Y6" s="18" t="str">
        <f aca="false"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customFormat="false" ht="9" hidden="false" customHeight="true" outlineLevel="0" collapsed="false">
      <c r="A7" s="14" t="str">
        <f aca="false">IFERROR(IF('Öğrenci Listesi'!A8="","",'Öğrenci Listesi'!A8),"")</f>
        <v/>
      </c>
      <c r="B7" s="15" t="str">
        <f aca="false">IFERROR(IF('Öğrenci Listesi'!B8="","",'Öğrenci Listesi'!B8),"")</f>
        <v/>
      </c>
      <c r="C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D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E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F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G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H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I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J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K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L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M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N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O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P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Q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R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S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T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U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V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W7" s="16" t="str">
        <f aca="false">IF(OR('Öğrenci Listesi'!B8="",Y7=""),"",IF(Y7="Çok İyi",CHOOSE(RANDBETWEEN(1,5),4,4,4,4,3),IF(Y7="İyi",CHOOSE(RANDBETWEEN(1,5),3,3,3,4,2),IF(Y7="Yeterli",CHOOSE(RANDBETWEEN(1,5),2,2,2,3,1),IF(Y7="Geliştirilmeli",CHOOSE(RANDBETWEEN(1,5),1,1,1,1,2),"")))))</f>
        <v/>
      </c>
      <c r="X7" s="17" t="str">
        <f aca="false">IF(OR('Öğrenci Listesi'!B8="",Y7=""),"",ROUND(AVERAGE(C7:W7),2))</f>
        <v/>
      </c>
      <c r="Y7" s="18" t="str">
        <f aca="false"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customFormat="false" ht="9" hidden="false" customHeight="true" outlineLevel="0" collapsed="false">
      <c r="A8" s="14" t="str">
        <f aca="false">IFERROR(IF('Öğrenci Listesi'!A9="","",'Öğrenci Listesi'!A9),"")</f>
        <v/>
      </c>
      <c r="B8" s="15" t="str">
        <f aca="false">IFERROR(IF('Öğrenci Listesi'!B9="","",'Öğrenci Listesi'!B9),"")</f>
        <v/>
      </c>
      <c r="C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D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E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F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G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H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I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J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K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L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M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N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O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P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Q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R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S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T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U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V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W8" s="16" t="str">
        <f aca="false">IF(OR('Öğrenci Listesi'!B9="",Y8=""),"",IF(Y8="Çok İyi",CHOOSE(RANDBETWEEN(1,5),4,4,4,4,3),IF(Y8="İyi",CHOOSE(RANDBETWEEN(1,5),3,3,3,4,2),IF(Y8="Yeterli",CHOOSE(RANDBETWEEN(1,5),2,2,2,3,1),IF(Y8="Geliştirilmeli",CHOOSE(RANDBETWEEN(1,5),1,1,1,1,2),"")))))</f>
        <v/>
      </c>
      <c r="X8" s="17" t="str">
        <f aca="false">IF(OR('Öğrenci Listesi'!B9="",Y8=""),"",ROUND(AVERAGE(C8:W8),2))</f>
        <v/>
      </c>
      <c r="Y8" s="18" t="str">
        <f aca="false"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customFormat="false" ht="9" hidden="false" customHeight="true" outlineLevel="0" collapsed="false">
      <c r="A9" s="14" t="str">
        <f aca="false">IFERROR(IF('Öğrenci Listesi'!A10="","",'Öğrenci Listesi'!A10),"")</f>
        <v/>
      </c>
      <c r="B9" s="15" t="str">
        <f aca="false">IFERROR(IF('Öğrenci Listesi'!B10="","",'Öğrenci Listesi'!B10),"")</f>
        <v/>
      </c>
      <c r="C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D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E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F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G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H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I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J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K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L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M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N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O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P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Q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R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S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T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U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V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W9" s="16" t="str">
        <f aca="false">IF(OR('Öğrenci Listesi'!B10="",Y9=""),"",IF(Y9="Çok İyi",CHOOSE(RANDBETWEEN(1,5),4,4,4,4,3),IF(Y9="İyi",CHOOSE(RANDBETWEEN(1,5),3,3,3,4,2),IF(Y9="Yeterli",CHOOSE(RANDBETWEEN(1,5),2,2,2,3,1),IF(Y9="Geliştirilmeli",CHOOSE(RANDBETWEEN(1,5),1,1,1,1,2),"")))))</f>
        <v/>
      </c>
      <c r="X9" s="17" t="str">
        <f aca="false">IF(OR('Öğrenci Listesi'!B10="",Y9=""),"",ROUND(AVERAGE(C9:W9),2))</f>
        <v/>
      </c>
      <c r="Y9" s="18" t="str">
        <f aca="false"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customFormat="false" ht="9" hidden="false" customHeight="true" outlineLevel="0" collapsed="false">
      <c r="A10" s="14" t="str">
        <f aca="false">IFERROR(IF('Öğrenci Listesi'!A11="","",'Öğrenci Listesi'!A11),"")</f>
        <v/>
      </c>
      <c r="B10" s="15" t="str">
        <f aca="false">IFERROR(IF('Öğrenci Listesi'!B11="","",'Öğrenci Listesi'!B11),"")</f>
        <v/>
      </c>
      <c r="C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D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E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F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G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H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I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J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K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L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M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N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O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P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Q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R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S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T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U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V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W10" s="16" t="str">
        <f aca="false">IF(OR('Öğrenci Listesi'!B11="",Y10=""),"",IF(Y10="Çok İyi",CHOOSE(RANDBETWEEN(1,5),4,4,4,4,3),IF(Y10="İyi",CHOOSE(RANDBETWEEN(1,5),3,3,3,4,2),IF(Y10="Yeterli",CHOOSE(RANDBETWEEN(1,5),2,2,2,3,1),IF(Y10="Geliştirilmeli",CHOOSE(RANDBETWEEN(1,5),1,1,1,1,2),"")))))</f>
        <v/>
      </c>
      <c r="X10" s="17" t="str">
        <f aca="false">IF(OR('Öğrenci Listesi'!B11="",Y10=""),"",ROUND(AVERAGE(C10:W10),2))</f>
        <v/>
      </c>
      <c r="Y10" s="18" t="str">
        <f aca="false"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customFormat="false" ht="9" hidden="false" customHeight="true" outlineLevel="0" collapsed="false">
      <c r="A11" s="14" t="str">
        <f aca="false">IFERROR(IF('Öğrenci Listesi'!A12="","",'Öğrenci Listesi'!A12),"")</f>
        <v/>
      </c>
      <c r="B11" s="15" t="str">
        <f aca="false">IFERROR(IF('Öğrenci Listesi'!B12="","",'Öğrenci Listesi'!B12),"")</f>
        <v/>
      </c>
      <c r="C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D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E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F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G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H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I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J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K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L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M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N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O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P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Q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R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S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T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U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V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W11" s="16" t="str">
        <f aca="false">IF(OR('Öğrenci Listesi'!B12="",Y11=""),"",IF(Y11="Çok İyi",CHOOSE(RANDBETWEEN(1,5),4,4,4,4,3),IF(Y11="İyi",CHOOSE(RANDBETWEEN(1,5),3,3,3,4,2),IF(Y11="Yeterli",CHOOSE(RANDBETWEEN(1,5),2,2,2,3,1),IF(Y11="Geliştirilmeli",CHOOSE(RANDBETWEEN(1,5),1,1,1,1,2),"")))))</f>
        <v/>
      </c>
      <c r="X11" s="17" t="str">
        <f aca="false">IF(OR('Öğrenci Listesi'!B12="",Y11=""),"",ROUND(AVERAGE(C11:W11),2))</f>
        <v/>
      </c>
      <c r="Y11" s="18" t="str">
        <f aca="false"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customFormat="false" ht="9" hidden="false" customHeight="true" outlineLevel="0" collapsed="false">
      <c r="A12" s="14" t="str">
        <f aca="false">IFERROR(IF('Öğrenci Listesi'!A13="","",'Öğrenci Listesi'!A13),"")</f>
        <v/>
      </c>
      <c r="B12" s="15" t="str">
        <f aca="false">IFERROR(IF('Öğrenci Listesi'!B13="","",'Öğrenci Listesi'!B13),"")</f>
        <v/>
      </c>
      <c r="C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D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E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F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G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H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I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J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K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L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M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N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O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P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Q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R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S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T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U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V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W12" s="16" t="str">
        <f aca="false">IF(OR('Öğrenci Listesi'!B13="",Y12=""),"",IF(Y12="Çok İyi",CHOOSE(RANDBETWEEN(1,5),4,4,4,4,3),IF(Y12="İyi",CHOOSE(RANDBETWEEN(1,5),3,3,3,4,2),IF(Y12="Yeterli",CHOOSE(RANDBETWEEN(1,5),2,2,2,3,1),IF(Y12="Geliştirilmeli",CHOOSE(RANDBETWEEN(1,5),1,1,1,1,2),"")))))</f>
        <v/>
      </c>
      <c r="X12" s="17" t="str">
        <f aca="false">IF(OR('Öğrenci Listesi'!B13="",Y12=""),"",ROUND(AVERAGE(C12:W12),2))</f>
        <v/>
      </c>
      <c r="Y12" s="18" t="str">
        <f aca="false"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customFormat="false" ht="9" hidden="false" customHeight="true" outlineLevel="0" collapsed="false">
      <c r="A13" s="14" t="str">
        <f aca="false">IFERROR(IF('Öğrenci Listesi'!A14="","",'Öğrenci Listesi'!A14),"")</f>
        <v/>
      </c>
      <c r="B13" s="15" t="str">
        <f aca="false">IFERROR(IF('Öğrenci Listesi'!B14="","",'Öğrenci Listesi'!B14),"")</f>
        <v/>
      </c>
      <c r="C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D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E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F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G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H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I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J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K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L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M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N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O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P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Q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R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S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T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U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V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W13" s="16" t="str">
        <f aca="false">IF(OR('Öğrenci Listesi'!B14="",Y13=""),"",IF(Y13="Çok İyi",CHOOSE(RANDBETWEEN(1,5),4,4,4,4,3),IF(Y13="İyi",CHOOSE(RANDBETWEEN(1,5),3,3,3,4,2),IF(Y13="Yeterli",CHOOSE(RANDBETWEEN(1,5),2,2,2,3,1),IF(Y13="Geliştirilmeli",CHOOSE(RANDBETWEEN(1,5),1,1,1,1,2),"")))))</f>
        <v/>
      </c>
      <c r="X13" s="17" t="str">
        <f aca="false">IF(OR('Öğrenci Listesi'!B14="",Y13=""),"",ROUND(AVERAGE(C13:W13),2))</f>
        <v/>
      </c>
      <c r="Y13" s="18" t="str">
        <f aca="false"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customFormat="false" ht="9" hidden="false" customHeight="true" outlineLevel="0" collapsed="false">
      <c r="A14" s="14" t="str">
        <f aca="false">IFERROR(IF('Öğrenci Listesi'!A15="","",'Öğrenci Listesi'!A15),"")</f>
        <v/>
      </c>
      <c r="B14" s="15" t="str">
        <f aca="false">IFERROR(IF('Öğrenci Listesi'!B15="","",'Öğrenci Listesi'!B15),"")</f>
        <v/>
      </c>
      <c r="C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D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E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F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G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H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I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J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K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L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M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N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O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P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Q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R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S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T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U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V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W14" s="16" t="str">
        <f aca="false">IF(OR('Öğrenci Listesi'!B15="",Y14=""),"",IF(Y14="Çok İyi",CHOOSE(RANDBETWEEN(1,5),4,4,4,4,3),IF(Y14="İyi",CHOOSE(RANDBETWEEN(1,5),3,3,3,4,2),IF(Y14="Yeterli",CHOOSE(RANDBETWEEN(1,5),2,2,2,3,1),IF(Y14="Geliştirilmeli",CHOOSE(RANDBETWEEN(1,5),1,1,1,1,2),"")))))</f>
        <v/>
      </c>
      <c r="X14" s="17" t="str">
        <f aca="false">IF(OR('Öğrenci Listesi'!B15="",Y14=""),"",ROUND(AVERAGE(C14:W14),2))</f>
        <v/>
      </c>
      <c r="Y14" s="18" t="str">
        <f aca="false"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customFormat="false" ht="9" hidden="false" customHeight="true" outlineLevel="0" collapsed="false">
      <c r="A15" s="14" t="str">
        <f aca="false">IFERROR(IF('Öğrenci Listesi'!A16="","",'Öğrenci Listesi'!A16),"")</f>
        <v/>
      </c>
      <c r="B15" s="15" t="str">
        <f aca="false">IFERROR(IF('Öğrenci Listesi'!B16="","",'Öğrenci Listesi'!B16),"")</f>
        <v/>
      </c>
      <c r="C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D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E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F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G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H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I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J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K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L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M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N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O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P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Q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R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S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T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U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V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W15" s="16" t="str">
        <f aca="false">IF(OR('Öğrenci Listesi'!B16="",Y15=""),"",IF(Y15="Çok İyi",CHOOSE(RANDBETWEEN(1,5),4,4,4,4,3),IF(Y15="İyi",CHOOSE(RANDBETWEEN(1,5),3,3,3,4,2),IF(Y15="Yeterli",CHOOSE(RANDBETWEEN(1,5),2,2,2,3,1),IF(Y15="Geliştirilmeli",CHOOSE(RANDBETWEEN(1,5),1,1,1,1,2),"")))))</f>
        <v/>
      </c>
      <c r="X15" s="17" t="str">
        <f aca="false">IF(OR('Öğrenci Listesi'!B16="",Y15=""),"",ROUND(AVERAGE(C15:W15),2))</f>
        <v/>
      </c>
      <c r="Y15" s="18" t="str">
        <f aca="false"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customFormat="false" ht="9" hidden="false" customHeight="true" outlineLevel="0" collapsed="false">
      <c r="A16" s="14" t="str">
        <f aca="false">IFERROR(IF('Öğrenci Listesi'!A17="","",'Öğrenci Listesi'!A17),"")</f>
        <v/>
      </c>
      <c r="B16" s="15" t="str">
        <f aca="false">IFERROR(IF('Öğrenci Listesi'!B17="","",'Öğrenci Listesi'!B17),"")</f>
        <v/>
      </c>
      <c r="C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D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E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F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G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H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I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J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K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L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M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N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O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P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Q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R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S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T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U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V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W16" s="16" t="str">
        <f aca="false">IF(OR('Öğrenci Listesi'!B17="",Y16=""),"",IF(Y16="Çok İyi",CHOOSE(RANDBETWEEN(1,5),4,4,4,4,3),IF(Y16="İyi",CHOOSE(RANDBETWEEN(1,5),3,3,3,4,2),IF(Y16="Yeterli",CHOOSE(RANDBETWEEN(1,5),2,2,2,3,1),IF(Y16="Geliştirilmeli",CHOOSE(RANDBETWEEN(1,5),1,1,1,1,2),"")))))</f>
        <v/>
      </c>
      <c r="X16" s="17" t="str">
        <f aca="false">IF(OR('Öğrenci Listesi'!B17="",Y16=""),"",ROUND(AVERAGE(C16:W16),2))</f>
        <v/>
      </c>
      <c r="Y16" s="18" t="str">
        <f aca="false"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customFormat="false" ht="9" hidden="false" customHeight="true" outlineLevel="0" collapsed="false">
      <c r="A17" s="14" t="str">
        <f aca="false">IFERROR(IF('Öğrenci Listesi'!A18="","",'Öğrenci Listesi'!A18),"")</f>
        <v/>
      </c>
      <c r="B17" s="15" t="str">
        <f aca="false">IFERROR(IF('Öğrenci Listesi'!B18="","",'Öğrenci Listesi'!B18),"")</f>
        <v/>
      </c>
      <c r="C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D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E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F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G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H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I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J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K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L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M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N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O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P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Q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R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S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T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U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V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W17" s="16" t="str">
        <f aca="false">IF(OR('Öğrenci Listesi'!B18="",Y17=""),"",IF(Y17="Çok İyi",CHOOSE(RANDBETWEEN(1,5),4,4,4,4,3),IF(Y17="İyi",CHOOSE(RANDBETWEEN(1,5),3,3,3,4,2),IF(Y17="Yeterli",CHOOSE(RANDBETWEEN(1,5),2,2,2,3,1),IF(Y17="Geliştirilmeli",CHOOSE(RANDBETWEEN(1,5),1,1,1,1,2),"")))))</f>
        <v/>
      </c>
      <c r="X17" s="17" t="str">
        <f aca="false">IF(OR('Öğrenci Listesi'!B18="",Y17=""),"",ROUND(AVERAGE(C17:W17),2))</f>
        <v/>
      </c>
      <c r="Y17" s="18" t="str">
        <f aca="false"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customFormat="false" ht="9" hidden="false" customHeight="true" outlineLevel="0" collapsed="false">
      <c r="A18" s="14" t="str">
        <f aca="false">IFERROR(IF('Öğrenci Listesi'!A19="","",'Öğrenci Listesi'!A19),"")</f>
        <v/>
      </c>
      <c r="B18" s="15" t="str">
        <f aca="false">IFERROR(IF('Öğrenci Listesi'!B19="","",'Öğrenci Listesi'!B19),"")</f>
        <v/>
      </c>
      <c r="C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D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E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F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G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H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I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J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K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L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M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N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O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P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Q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R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S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T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U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V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W18" s="16" t="str">
        <f aca="false">IF(OR('Öğrenci Listesi'!B19="",Y18=""),"",IF(Y18="Çok İyi",CHOOSE(RANDBETWEEN(1,5),4,4,4,4,3),IF(Y18="İyi",CHOOSE(RANDBETWEEN(1,5),3,3,3,4,2),IF(Y18="Yeterli",CHOOSE(RANDBETWEEN(1,5),2,2,2,3,1),IF(Y18="Geliştirilmeli",CHOOSE(RANDBETWEEN(1,5),1,1,1,1,2),"")))))</f>
        <v/>
      </c>
      <c r="X18" s="17" t="str">
        <f aca="false">IF(OR('Öğrenci Listesi'!B19="",Y18=""),"",ROUND(AVERAGE(C18:W18),2))</f>
        <v/>
      </c>
      <c r="Y18" s="18" t="str">
        <f aca="false"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customFormat="false" ht="9" hidden="false" customHeight="true" outlineLevel="0" collapsed="false">
      <c r="A19" s="14" t="str">
        <f aca="false">IFERROR(IF('Öğrenci Listesi'!A20="","",'Öğrenci Listesi'!A20),"")</f>
        <v/>
      </c>
      <c r="B19" s="15" t="str">
        <f aca="false">IFERROR(IF('Öğrenci Listesi'!B20="","",'Öğrenci Listesi'!B20),"")</f>
        <v/>
      </c>
      <c r="C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D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E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F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G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H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I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J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K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L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M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N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O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P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Q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R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S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T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U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V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W19" s="16" t="str">
        <f aca="false">IF(OR('Öğrenci Listesi'!B20="",Y19=""),"",IF(Y19="Çok İyi",CHOOSE(RANDBETWEEN(1,5),4,4,4,4,3),IF(Y19="İyi",CHOOSE(RANDBETWEEN(1,5),3,3,3,4,2),IF(Y19="Yeterli",CHOOSE(RANDBETWEEN(1,5),2,2,2,3,1),IF(Y19="Geliştirilmeli",CHOOSE(RANDBETWEEN(1,5),1,1,1,1,2),"")))))</f>
        <v/>
      </c>
      <c r="X19" s="17" t="str">
        <f aca="false">IF(OR('Öğrenci Listesi'!B20="",Y19=""),"",ROUND(AVERAGE(C19:W19),2))</f>
        <v/>
      </c>
      <c r="Y19" s="18" t="str">
        <f aca="false"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customFormat="false" ht="9" hidden="false" customHeight="true" outlineLevel="0" collapsed="false">
      <c r="A20" s="14" t="str">
        <f aca="false">IFERROR(IF('Öğrenci Listesi'!A21="","",'Öğrenci Listesi'!A21),"")</f>
        <v/>
      </c>
      <c r="B20" s="15" t="str">
        <f aca="false">IFERROR(IF('Öğrenci Listesi'!B21="","",'Öğrenci Listesi'!B21),"")</f>
        <v/>
      </c>
      <c r="C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D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E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F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G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H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I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J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K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L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M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N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O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P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Q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R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S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T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U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V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W20" s="16" t="str">
        <f aca="false">IF(OR('Öğrenci Listesi'!B21="",Y20=""),"",IF(Y20="Çok İyi",CHOOSE(RANDBETWEEN(1,5),4,4,4,4,3),IF(Y20="İyi",CHOOSE(RANDBETWEEN(1,5),3,3,3,4,2),IF(Y20="Yeterli",CHOOSE(RANDBETWEEN(1,5),2,2,2,3,1),IF(Y20="Geliştirilmeli",CHOOSE(RANDBETWEEN(1,5),1,1,1,1,2),"")))))</f>
        <v/>
      </c>
      <c r="X20" s="17" t="str">
        <f aca="false">IF(OR('Öğrenci Listesi'!B21="",Y20=""),"",ROUND(AVERAGE(C20:W20),2))</f>
        <v/>
      </c>
      <c r="Y20" s="18" t="str">
        <f aca="false"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customFormat="false" ht="9" hidden="false" customHeight="true" outlineLevel="0" collapsed="false">
      <c r="A21" s="14" t="str">
        <f aca="false">IFERROR(IF('Öğrenci Listesi'!A22="","",'Öğrenci Listesi'!A22),"")</f>
        <v/>
      </c>
      <c r="B21" s="15" t="str">
        <f aca="false">IFERROR(IF('Öğrenci Listesi'!B22="","",'Öğrenci Listesi'!B22),"")</f>
        <v/>
      </c>
      <c r="C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D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E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F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G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H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I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J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K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L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M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N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O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P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Q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R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S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T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U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V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W21" s="16" t="str">
        <f aca="false">IF(OR('Öğrenci Listesi'!B22="",Y21=""),"",IF(Y21="Çok İyi",CHOOSE(RANDBETWEEN(1,5),4,4,4,4,3),IF(Y21="İyi",CHOOSE(RANDBETWEEN(1,5),3,3,3,4,2),IF(Y21="Yeterli",CHOOSE(RANDBETWEEN(1,5),2,2,2,3,1),IF(Y21="Geliştirilmeli",CHOOSE(RANDBETWEEN(1,5),1,1,1,1,2),"")))))</f>
        <v/>
      </c>
      <c r="X21" s="17" t="str">
        <f aca="false">IF(OR('Öğrenci Listesi'!B22="",Y21=""),"",ROUND(AVERAGE(C21:W21),2))</f>
        <v/>
      </c>
      <c r="Y21" s="18" t="str">
        <f aca="false"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customFormat="false" ht="9" hidden="false" customHeight="true" outlineLevel="0" collapsed="false">
      <c r="A22" s="14" t="str">
        <f aca="false">IFERROR(IF('Öğrenci Listesi'!A23="","",'Öğrenci Listesi'!A23),"")</f>
        <v/>
      </c>
      <c r="B22" s="15" t="str">
        <f aca="false">IFERROR(IF('Öğrenci Listesi'!B23="","",'Öğrenci Listesi'!B23),"")</f>
        <v/>
      </c>
      <c r="C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D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E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F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G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H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I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J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K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L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M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N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O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P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Q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R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S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T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U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V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W22" s="16" t="str">
        <f aca="false">IF(OR('Öğrenci Listesi'!B23="",Y22=""),"",IF(Y22="Çok İyi",CHOOSE(RANDBETWEEN(1,5),4,4,4,4,3),IF(Y22="İyi",CHOOSE(RANDBETWEEN(1,5),3,3,3,4,2),IF(Y22="Yeterli",CHOOSE(RANDBETWEEN(1,5),2,2,2,3,1),IF(Y22="Geliştirilmeli",CHOOSE(RANDBETWEEN(1,5),1,1,1,1,2),"")))))</f>
        <v/>
      </c>
      <c r="X22" s="17" t="str">
        <f aca="false">IF(OR('Öğrenci Listesi'!B23="",Y22=""),"",ROUND(AVERAGE(C22:W22),2))</f>
        <v/>
      </c>
      <c r="Y22" s="18" t="str">
        <f aca="false"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customFormat="false" ht="9" hidden="false" customHeight="true" outlineLevel="0" collapsed="false">
      <c r="A23" s="14" t="str">
        <f aca="false">IFERROR(IF('Öğrenci Listesi'!A24="","",'Öğrenci Listesi'!A24),"")</f>
        <v/>
      </c>
      <c r="B23" s="15" t="str">
        <f aca="false">IFERROR(IF('Öğrenci Listesi'!B24="","",'Öğrenci Listesi'!B24),"")</f>
        <v/>
      </c>
      <c r="C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D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E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F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G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H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I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J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K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L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M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N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O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P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Q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R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S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T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U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V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W23" s="16" t="str">
        <f aca="false">IF(OR('Öğrenci Listesi'!B24="",Y23=""),"",IF(Y23="Çok İyi",CHOOSE(RANDBETWEEN(1,5),4,4,4,4,3),IF(Y23="İyi",CHOOSE(RANDBETWEEN(1,5),3,3,3,4,2),IF(Y23="Yeterli",CHOOSE(RANDBETWEEN(1,5),2,2,2,3,1),IF(Y23="Geliştirilmeli",CHOOSE(RANDBETWEEN(1,5),1,1,1,1,2),"")))))</f>
        <v/>
      </c>
      <c r="X23" s="17" t="str">
        <f aca="false">IF(OR('Öğrenci Listesi'!B24="",Y23=""),"",ROUND(AVERAGE(C23:W23),2))</f>
        <v/>
      </c>
      <c r="Y23" s="18" t="str">
        <f aca="false"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customFormat="false" ht="9" hidden="false" customHeight="true" outlineLevel="0" collapsed="false">
      <c r="A24" s="14" t="str">
        <f aca="false">IFERROR(IF('Öğrenci Listesi'!A25="","",'Öğrenci Listesi'!A25),"")</f>
        <v/>
      </c>
      <c r="B24" s="15" t="str">
        <f aca="false">IFERROR(IF('Öğrenci Listesi'!B25="","",'Öğrenci Listesi'!B25),"")</f>
        <v/>
      </c>
      <c r="C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D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E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F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G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H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I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J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K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L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M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N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O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P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Q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R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S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T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U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V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W24" s="16" t="str">
        <f aca="false">IF(OR('Öğrenci Listesi'!B25="",Y24=""),"",IF(Y24="Çok İyi",CHOOSE(RANDBETWEEN(1,5),4,4,4,4,3),IF(Y24="İyi",CHOOSE(RANDBETWEEN(1,5),3,3,3,4,2),IF(Y24="Yeterli",CHOOSE(RANDBETWEEN(1,5),2,2,2,3,1),IF(Y24="Geliştirilmeli",CHOOSE(RANDBETWEEN(1,5),1,1,1,1,2),"")))))</f>
        <v/>
      </c>
      <c r="X24" s="17" t="str">
        <f aca="false">IF(OR('Öğrenci Listesi'!B25="",Y24=""),"",ROUND(AVERAGE(C24:W24),2))</f>
        <v/>
      </c>
      <c r="Y24" s="18" t="str">
        <f aca="false"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customFormat="false" ht="9" hidden="false" customHeight="true" outlineLevel="0" collapsed="false">
      <c r="A25" s="14" t="str">
        <f aca="false">IFERROR(IF('Öğrenci Listesi'!A26="","",'Öğrenci Listesi'!A26),"")</f>
        <v/>
      </c>
      <c r="B25" s="15" t="str">
        <f aca="false">IFERROR(IF('Öğrenci Listesi'!B26="","",'Öğrenci Listesi'!B26),"")</f>
        <v/>
      </c>
      <c r="C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D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E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F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G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H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I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J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K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L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M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N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O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P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Q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R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S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T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U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V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W25" s="16" t="str">
        <f aca="false">IF(OR('Öğrenci Listesi'!B26="",Y25=""),"",IF(Y25="Çok İyi",CHOOSE(RANDBETWEEN(1,5),4,4,4,4,3),IF(Y25="İyi",CHOOSE(RANDBETWEEN(1,5),3,3,3,4,2),IF(Y25="Yeterli",CHOOSE(RANDBETWEEN(1,5),2,2,2,3,1),IF(Y25="Geliştirilmeli",CHOOSE(RANDBETWEEN(1,5),1,1,1,1,2),"")))))</f>
        <v/>
      </c>
      <c r="X25" s="17" t="str">
        <f aca="false">IF(OR('Öğrenci Listesi'!B26="",Y25=""),"",ROUND(AVERAGE(C25:W25),2))</f>
        <v/>
      </c>
      <c r="Y25" s="18" t="str">
        <f aca="false"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customFormat="false" ht="9" hidden="false" customHeight="true" outlineLevel="0" collapsed="false">
      <c r="A26" s="14" t="str">
        <f aca="false">IFERROR(IF('Öğrenci Listesi'!A27="","",'Öğrenci Listesi'!A27),"")</f>
        <v/>
      </c>
      <c r="B26" s="15" t="str">
        <f aca="false">IFERROR(IF('Öğrenci Listesi'!B27="","",'Öğrenci Listesi'!B27),"")</f>
        <v/>
      </c>
      <c r="C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D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E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F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G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H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I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J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K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L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M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N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O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P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Q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R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S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T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U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V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W26" s="16" t="str">
        <f aca="false">IF(OR('Öğrenci Listesi'!B27="",Y26=""),"",IF(Y26="Çok İyi",CHOOSE(RANDBETWEEN(1,5),4,4,4,4,3),IF(Y26="İyi",CHOOSE(RANDBETWEEN(1,5),3,3,3,4,2),IF(Y26="Yeterli",CHOOSE(RANDBETWEEN(1,5),2,2,2,3,1),IF(Y26="Geliştirilmeli",CHOOSE(RANDBETWEEN(1,5),1,1,1,1,2),"")))))</f>
        <v/>
      </c>
      <c r="X26" s="17" t="str">
        <f aca="false">IF(OR('Öğrenci Listesi'!B27="",Y26=""),"",ROUND(AVERAGE(C26:W26),2))</f>
        <v/>
      </c>
      <c r="Y26" s="18" t="str">
        <f aca="false"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customFormat="false" ht="9" hidden="false" customHeight="true" outlineLevel="0" collapsed="false">
      <c r="A27" s="14" t="str">
        <f aca="false">IFERROR(IF('Öğrenci Listesi'!A28="","",'Öğrenci Listesi'!A28),"")</f>
        <v/>
      </c>
      <c r="B27" s="15" t="str">
        <f aca="false">IFERROR(IF('Öğrenci Listesi'!B28="","",'Öğrenci Listesi'!B28),"")</f>
        <v/>
      </c>
      <c r="C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D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E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F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G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H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I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J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K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L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M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N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O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P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Q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R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S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T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U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V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W27" s="16" t="str">
        <f aca="false">IF(OR('Öğrenci Listesi'!B28="",Y27=""),"",IF(Y27="Çok İyi",CHOOSE(RANDBETWEEN(1,5),4,4,4,4,3),IF(Y27="İyi",CHOOSE(RANDBETWEEN(1,5),3,3,3,4,2),IF(Y27="Yeterli",CHOOSE(RANDBETWEEN(1,5),2,2,2,3,1),IF(Y27="Geliştirilmeli",CHOOSE(RANDBETWEEN(1,5),1,1,1,1,2),"")))))</f>
        <v/>
      </c>
      <c r="X27" s="17" t="str">
        <f aca="false">IF(OR('Öğrenci Listesi'!B28="",Y27=""),"",ROUND(AVERAGE(C27:W27),2))</f>
        <v/>
      </c>
      <c r="Y27" s="18" t="str">
        <f aca="false"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customFormat="false" ht="9" hidden="false" customHeight="true" outlineLevel="0" collapsed="false">
      <c r="A28" s="14" t="str">
        <f aca="false">IFERROR(IF('Öğrenci Listesi'!A29="","",'Öğrenci Listesi'!A29),"")</f>
        <v/>
      </c>
      <c r="B28" s="15" t="str">
        <f aca="false">IFERROR(IF('Öğrenci Listesi'!B29="","",'Öğrenci Listesi'!B29),"")</f>
        <v/>
      </c>
      <c r="C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D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E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F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G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H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I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J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K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L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M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N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O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P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Q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R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S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T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U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V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W28" s="16" t="str">
        <f aca="false">IF(OR('Öğrenci Listesi'!B29="",Y28=""),"",IF(Y28="Çok İyi",CHOOSE(RANDBETWEEN(1,5),4,4,4,4,3),IF(Y28="İyi",CHOOSE(RANDBETWEEN(1,5),3,3,3,4,2),IF(Y28="Yeterli",CHOOSE(RANDBETWEEN(1,5),2,2,2,3,1),IF(Y28="Geliştirilmeli",CHOOSE(RANDBETWEEN(1,5),1,1,1,1,2),"")))))</f>
        <v/>
      </c>
      <c r="X28" s="17" t="str">
        <f aca="false">IF(OR('Öğrenci Listesi'!B29="",Y28=""),"",ROUND(AVERAGE(C28:W28),2))</f>
        <v/>
      </c>
      <c r="Y28" s="18" t="str">
        <f aca="false"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customFormat="false" ht="9" hidden="false" customHeight="true" outlineLevel="0" collapsed="false">
      <c r="A29" s="14" t="str">
        <f aca="false">IFERROR(IF('Öğrenci Listesi'!A30="","",'Öğrenci Listesi'!A30),"")</f>
        <v/>
      </c>
      <c r="B29" s="15" t="str">
        <f aca="false">IFERROR(IF('Öğrenci Listesi'!B30="","",'Öğrenci Listesi'!B30),"")</f>
        <v/>
      </c>
      <c r="C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D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E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F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G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H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I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J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K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L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M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N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O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P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Q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R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S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T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U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V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W29" s="16" t="str">
        <f aca="false">IF(OR('Öğrenci Listesi'!B30="",Y29=""),"",IF(Y29="Çok İyi",CHOOSE(RANDBETWEEN(1,5),4,4,4,4,3),IF(Y29="İyi",CHOOSE(RANDBETWEEN(1,5),3,3,3,4,2),IF(Y29="Yeterli",CHOOSE(RANDBETWEEN(1,5),2,2,2,3,1),IF(Y29="Geliştirilmeli",CHOOSE(RANDBETWEEN(1,5),1,1,1,1,2),"")))))</f>
        <v/>
      </c>
      <c r="X29" s="17" t="str">
        <f aca="false">IF(OR('Öğrenci Listesi'!B30="",Y29=""),"",ROUND(AVERAGE(C29:W29),2))</f>
        <v/>
      </c>
      <c r="Y29" s="18" t="str">
        <f aca="false"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customFormat="false" ht="9" hidden="false" customHeight="true" outlineLevel="0" collapsed="false">
      <c r="A30" s="14" t="str">
        <f aca="false">IFERROR(IF('Öğrenci Listesi'!A31="","",'Öğrenci Listesi'!A31),"")</f>
        <v/>
      </c>
      <c r="B30" s="15" t="str">
        <f aca="false">IFERROR(IF('Öğrenci Listesi'!B31="","",'Öğrenci Listesi'!B31),"")</f>
        <v/>
      </c>
      <c r="C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D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E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F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G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H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I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J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K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L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M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N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O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P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Q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R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S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T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U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V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W30" s="16" t="str">
        <f aca="false">IF(OR('Öğrenci Listesi'!B31="",Y30=""),"",IF(Y30="Çok İyi",CHOOSE(RANDBETWEEN(1,5),4,4,4,4,3),IF(Y30="İyi",CHOOSE(RANDBETWEEN(1,5),3,3,3,4,2),IF(Y30="Yeterli",CHOOSE(RANDBETWEEN(1,5),2,2,2,3,1),IF(Y30="Geliştirilmeli",CHOOSE(RANDBETWEEN(1,5),1,1,1,1,2),"")))))</f>
        <v/>
      </c>
      <c r="X30" s="17" t="str">
        <f aca="false">IF(OR('Öğrenci Listesi'!B31="",Y30=""),"",ROUND(AVERAGE(C30:W30),2))</f>
        <v/>
      </c>
      <c r="Y30" s="18" t="str">
        <f aca="false"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customFormat="false" ht="9" hidden="false" customHeight="true" outlineLevel="0" collapsed="false">
      <c r="A31" s="14" t="str">
        <f aca="false">IFERROR(IF('Öğrenci Listesi'!A32="","",'Öğrenci Listesi'!A32),"")</f>
        <v/>
      </c>
      <c r="B31" s="15" t="str">
        <f aca="false">IFERROR(IF('Öğrenci Listesi'!B32="","",'Öğrenci Listesi'!B32),"")</f>
        <v/>
      </c>
      <c r="C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D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E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F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G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H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I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J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K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L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M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N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O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P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Q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R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S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T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U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V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W31" s="16" t="str">
        <f aca="false">IF(OR('Öğrenci Listesi'!B32="",Y31=""),"",IF(Y31="Çok İyi",CHOOSE(RANDBETWEEN(1,5),4,4,4,4,3),IF(Y31="İyi",CHOOSE(RANDBETWEEN(1,5),3,3,3,4,2),IF(Y31="Yeterli",CHOOSE(RANDBETWEEN(1,5),2,2,2,3,1),IF(Y31="Geliştirilmeli",CHOOSE(RANDBETWEEN(1,5),1,1,1,1,2),"")))))</f>
        <v/>
      </c>
      <c r="X31" s="17" t="str">
        <f aca="false">IF(OR('Öğrenci Listesi'!B32="",Y31=""),"",ROUND(AVERAGE(C31:W31),2))</f>
        <v/>
      </c>
      <c r="Y31" s="18" t="str">
        <f aca="false"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customFormat="false" ht="9" hidden="false" customHeight="true" outlineLevel="0" collapsed="false">
      <c r="A32" s="14" t="str">
        <f aca="false">IFERROR(IF('Öğrenci Listesi'!A33="","",'Öğrenci Listesi'!A33),"")</f>
        <v/>
      </c>
      <c r="B32" s="15" t="str">
        <f aca="false">IFERROR(IF('Öğrenci Listesi'!B33="","",'Öğrenci Listesi'!B33),"")</f>
        <v/>
      </c>
      <c r="C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D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E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F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G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H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I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J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K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L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M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N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O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P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Q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R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S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T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U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V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W32" s="16" t="str">
        <f aca="false">IF(OR('Öğrenci Listesi'!B33="",Y32=""),"",IF(Y32="Çok İyi",CHOOSE(RANDBETWEEN(1,5),4,4,4,4,3),IF(Y32="İyi",CHOOSE(RANDBETWEEN(1,5),3,3,3,4,2),IF(Y32="Yeterli",CHOOSE(RANDBETWEEN(1,5),2,2,2,3,1),IF(Y32="Geliştirilmeli",CHOOSE(RANDBETWEEN(1,5),1,1,1,1,2),"")))))</f>
        <v/>
      </c>
      <c r="X32" s="17" t="str">
        <f aca="false">IF(OR('Öğrenci Listesi'!B33="",Y32=""),"",ROUND(AVERAGE(C32:W32),2))</f>
        <v/>
      </c>
      <c r="Y32" s="18" t="str">
        <f aca="false"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customFormat="false" ht="9" hidden="false" customHeight="true" outlineLevel="0" collapsed="false">
      <c r="A33" s="14" t="str">
        <f aca="false">IFERROR(IF('Öğrenci Listesi'!A34="","",'Öğrenci Listesi'!A34),"")</f>
        <v/>
      </c>
      <c r="B33" s="15" t="str">
        <f aca="false">IFERROR(IF('Öğrenci Listesi'!B34="","",'Öğrenci Listesi'!B34),"")</f>
        <v/>
      </c>
      <c r="C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D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E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F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G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H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I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J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K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L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M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N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O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P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Q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R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S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T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U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V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W33" s="16" t="str">
        <f aca="false">IF(OR('Öğrenci Listesi'!B34="",Y33=""),"",IF(Y33="Çok İyi",CHOOSE(RANDBETWEEN(1,5),4,4,4,4,3),IF(Y33="İyi",CHOOSE(RANDBETWEEN(1,5),3,3,3,4,2),IF(Y33="Yeterli",CHOOSE(RANDBETWEEN(1,5),2,2,2,3,1),IF(Y33="Geliştirilmeli",CHOOSE(RANDBETWEEN(1,5),1,1,1,1,2),"")))))</f>
        <v/>
      </c>
      <c r="X33" s="17" t="str">
        <f aca="false">IF(OR('Öğrenci Listesi'!B34="",Y33=""),"",ROUND(AVERAGE(C33:W33),2))</f>
        <v/>
      </c>
      <c r="Y33" s="18" t="str">
        <f aca="false"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customFormat="false" ht="9" hidden="false" customHeight="true" outlineLevel="0" collapsed="false">
      <c r="A34" s="14" t="str">
        <f aca="false">IFERROR(IF('Öğrenci Listesi'!A35="","",'Öğrenci Listesi'!A35),"")</f>
        <v/>
      </c>
      <c r="B34" s="15" t="str">
        <f aca="false">IFERROR(IF('Öğrenci Listesi'!B35="","",'Öğrenci Listesi'!B35),"")</f>
        <v/>
      </c>
      <c r="C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D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E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F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G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H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I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J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K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L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M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N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O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P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Q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R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S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T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U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V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W34" s="16" t="str">
        <f aca="false">IF(OR('Öğrenci Listesi'!B35="",Y34=""),"",IF(Y34="Çok İyi",CHOOSE(RANDBETWEEN(1,5),4,4,4,4,3),IF(Y34="İyi",CHOOSE(RANDBETWEEN(1,5),3,3,3,4,2),IF(Y34="Yeterli",CHOOSE(RANDBETWEEN(1,5),2,2,2,3,1),IF(Y34="Geliştirilmeli",CHOOSE(RANDBETWEEN(1,5),1,1,1,1,2),"")))))</f>
        <v/>
      </c>
      <c r="X34" s="17" t="str">
        <f aca="false">IF(OR('Öğrenci Listesi'!B35="",Y34=""),"",ROUND(AVERAGE(C34:W34),2))</f>
        <v/>
      </c>
      <c r="Y34" s="18" t="str">
        <f aca="false"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customFormat="false" ht="9" hidden="false" customHeight="true" outlineLevel="0" collapsed="false">
      <c r="A35" s="14" t="str">
        <f aca="false">IFERROR(IF('Öğrenci Listesi'!A36="","",'Öğrenci Listesi'!A36),"")</f>
        <v/>
      </c>
      <c r="B35" s="15" t="str">
        <f aca="false">IFERROR(IF('Öğrenci Listesi'!B36="","",'Öğrenci Listesi'!B36),"")</f>
        <v/>
      </c>
      <c r="C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D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E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F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G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H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I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J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K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L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M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N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O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P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Q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R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S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T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U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V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W35" s="16" t="str">
        <f aca="false">IF(OR('Öğrenci Listesi'!B36="",Y35=""),"",IF(Y35="Çok İyi",CHOOSE(RANDBETWEEN(1,5),4,4,4,4,3),IF(Y35="İyi",CHOOSE(RANDBETWEEN(1,5),3,3,3,4,2),IF(Y35="Yeterli",CHOOSE(RANDBETWEEN(1,5),2,2,2,3,1),IF(Y35="Geliştirilmeli",CHOOSE(RANDBETWEEN(1,5),1,1,1,1,2),"")))))</f>
        <v/>
      </c>
      <c r="X35" s="17" t="str">
        <f aca="false">IF(OR('Öğrenci Listesi'!B36="",Y35=""),"",ROUND(AVERAGE(C35:W35),2))</f>
        <v/>
      </c>
      <c r="Y35" s="18" t="str">
        <f aca="false"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customFormat="false" ht="9" hidden="false" customHeight="true" outlineLevel="0" collapsed="false">
      <c r="A36" s="14" t="str">
        <f aca="false">IFERROR(IF('Öğrenci Listesi'!A37="","",'Öğrenci Listesi'!A37),"")</f>
        <v/>
      </c>
      <c r="B36" s="15" t="str">
        <f aca="false">IFERROR(IF('Öğrenci Listesi'!B37="","",'Öğrenci Listesi'!B37),"")</f>
        <v/>
      </c>
      <c r="C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D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E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F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G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H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I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J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K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L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M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N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O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P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Q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R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S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T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U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V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W36" s="16" t="str">
        <f aca="false">IF(OR('Öğrenci Listesi'!B37="",Y36=""),"",IF(Y36="Çok İyi",CHOOSE(RANDBETWEEN(1,5),4,4,4,4,3),IF(Y36="İyi",CHOOSE(RANDBETWEEN(1,5),3,3,3,4,2),IF(Y36="Yeterli",CHOOSE(RANDBETWEEN(1,5),2,2,2,3,1),IF(Y36="Geliştirilmeli",CHOOSE(RANDBETWEEN(1,5),1,1,1,1,2),"")))))</f>
        <v/>
      </c>
      <c r="X36" s="17" t="str">
        <f aca="false">IF(OR('Öğrenci Listesi'!B37="",Y36=""),"",ROUND(AVERAGE(C36:W36),2))</f>
        <v/>
      </c>
      <c r="Y36" s="18" t="str">
        <f aca="false"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customFormat="false" ht="9" hidden="false" customHeight="true" outlineLevel="0" collapsed="false">
      <c r="A37" s="14" t="str">
        <f aca="false">IFERROR(IF('Öğrenci Listesi'!A38="","",'Öğrenci Listesi'!A38),"")</f>
        <v/>
      </c>
      <c r="B37" s="15" t="str">
        <f aca="false">IFERROR(IF('Öğrenci Listesi'!B38="","",'Öğrenci Listesi'!B38),"")</f>
        <v/>
      </c>
      <c r="C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D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E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F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G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H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I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J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K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L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M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N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O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P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Q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R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S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T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U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V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W37" s="16" t="str">
        <f aca="false">IF(OR('Öğrenci Listesi'!B38="",Y37=""),"",IF(Y37="Çok İyi",CHOOSE(RANDBETWEEN(1,5),4,4,4,4,3),IF(Y37="İyi",CHOOSE(RANDBETWEEN(1,5),3,3,3,4,2),IF(Y37="Yeterli",CHOOSE(RANDBETWEEN(1,5),2,2,2,3,1),IF(Y37="Geliştirilmeli",CHOOSE(RANDBETWEEN(1,5),1,1,1,1,2),"")))))</f>
        <v/>
      </c>
      <c r="X37" s="17" t="str">
        <f aca="false">IF(OR('Öğrenci Listesi'!B38="",Y37=""),"",ROUND(AVERAGE(C37:W37),2))</f>
        <v/>
      </c>
      <c r="Y37" s="18" t="str">
        <f aca="false"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customFormat="false" ht="9" hidden="false" customHeight="true" outlineLevel="0" collapsed="false">
      <c r="A38" s="14" t="str">
        <f aca="false">IFERROR(IF('Öğrenci Listesi'!A39="","",'Öğrenci Listesi'!A39),"")</f>
        <v/>
      </c>
      <c r="B38" s="15" t="str">
        <f aca="false">IFERROR(IF('Öğrenci Listesi'!B39="","",'Öğrenci Listesi'!B39),"")</f>
        <v/>
      </c>
      <c r="C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D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E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F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G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H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I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J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K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L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M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N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O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P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Q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R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S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T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U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V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W38" s="16" t="str">
        <f aca="false">IF(OR('Öğrenci Listesi'!B39="",Y38=""),"",IF(Y38="Çok İyi",CHOOSE(RANDBETWEEN(1,5),4,4,4,4,3),IF(Y38="İyi",CHOOSE(RANDBETWEEN(1,5),3,3,3,4,2),IF(Y38="Yeterli",CHOOSE(RANDBETWEEN(1,5),2,2,2,3,1),IF(Y38="Geliştirilmeli",CHOOSE(RANDBETWEEN(1,5),1,1,1,1,2),"")))))</f>
        <v/>
      </c>
      <c r="X38" s="17" t="str">
        <f aca="false">IF(OR('Öğrenci Listesi'!B39="",Y38=""),"",ROUND(AVERAGE(C38:W38),2))</f>
        <v/>
      </c>
      <c r="Y38" s="18" t="str">
        <f aca="false"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customFormat="false" ht="9" hidden="false" customHeight="true" outlineLevel="0" collapsed="false">
      <c r="A39" s="14" t="str">
        <f aca="false">IFERROR(IF('Öğrenci Listesi'!A40="","",'Öğrenci Listesi'!A40),"")</f>
        <v/>
      </c>
      <c r="B39" s="15" t="str">
        <f aca="false">IFERROR(IF('Öğrenci Listesi'!B40="","",'Öğrenci Listesi'!B40),"")</f>
        <v/>
      </c>
      <c r="C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D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E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F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G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H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I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J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K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L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M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N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O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P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Q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R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S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T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U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V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W39" s="16" t="str">
        <f aca="false">IF(OR('Öğrenci Listesi'!B40="",Y39=""),"",IF(Y39="Çok İyi",CHOOSE(RANDBETWEEN(1,5),4,4,4,4,3),IF(Y39="İyi",CHOOSE(RANDBETWEEN(1,5),3,3,3,4,2),IF(Y39="Yeterli",CHOOSE(RANDBETWEEN(1,5),2,2,2,3,1),IF(Y39="Geliştirilmeli",CHOOSE(RANDBETWEEN(1,5),1,1,1,1,2),"")))))</f>
        <v/>
      </c>
      <c r="X39" s="17" t="str">
        <f aca="false">IF(OR('Öğrenci Listesi'!B40="",Y39=""),"",ROUND(AVERAGE(C39:W39),2))</f>
        <v/>
      </c>
      <c r="Y39" s="18" t="str">
        <f aca="false"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customFormat="false" ht="9" hidden="false" customHeight="true" outlineLevel="0" collapsed="false">
      <c r="A40" s="14" t="str">
        <f aca="false">IFERROR(IF('Öğrenci Listesi'!A41="","",'Öğrenci Listesi'!A41),"")</f>
        <v/>
      </c>
      <c r="B40" s="15" t="str">
        <f aca="false">IFERROR(IF('Öğrenci Listesi'!B41="","",'Öğrenci Listesi'!B41),"")</f>
        <v/>
      </c>
      <c r="C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D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E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F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G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H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I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J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K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L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M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N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O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P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Q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R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S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T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U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V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W40" s="16" t="str">
        <f aca="false">IF(OR('Öğrenci Listesi'!B41="",Y40=""),"",IF(Y40="Çok İyi",CHOOSE(RANDBETWEEN(1,5),4,4,4,4,3),IF(Y40="İyi",CHOOSE(RANDBETWEEN(1,5),3,3,3,4,2),IF(Y40="Yeterli",CHOOSE(RANDBETWEEN(1,5),2,2,2,3,1),IF(Y40="Geliştirilmeli",CHOOSE(RANDBETWEEN(1,5),1,1,1,1,2),"")))))</f>
        <v/>
      </c>
      <c r="X40" s="17" t="str">
        <f aca="false">IF(OR('Öğrenci Listesi'!B41="",Y40=""),"",ROUND(AVERAGE(C40:W40),2))</f>
        <v/>
      </c>
      <c r="Y40" s="18" t="str">
        <f aca="false"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customFormat="false" ht="9" hidden="false" customHeight="true" outlineLevel="0" collapsed="false">
      <c r="A41" s="14" t="str">
        <f aca="false">IFERROR(IF('Öğrenci Listesi'!A42="","",'Öğrenci Listesi'!A42),"")</f>
        <v/>
      </c>
      <c r="B41" s="15" t="str">
        <f aca="false">IFERROR(IF('Öğrenci Listesi'!B42="","",'Öğrenci Listesi'!B42),"")</f>
        <v/>
      </c>
      <c r="C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D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E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F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G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H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I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J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K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L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M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N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O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P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Q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R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S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T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U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V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W41" s="16" t="str">
        <f aca="false">IF(OR('Öğrenci Listesi'!B42="",Y41=""),"",IF(Y41="Çok İyi",CHOOSE(RANDBETWEEN(1,5),4,4,4,4,3),IF(Y41="İyi",CHOOSE(RANDBETWEEN(1,5),3,3,3,4,2),IF(Y41="Yeterli",CHOOSE(RANDBETWEEN(1,5),2,2,2,3,1),IF(Y41="Geliştirilmeli",CHOOSE(RANDBETWEEN(1,5),1,1,1,1,2),"")))))</f>
        <v/>
      </c>
      <c r="X41" s="17" t="str">
        <f aca="false">IF(OR('Öğrenci Listesi'!B42="",Y41=""),"",ROUND(AVERAGE(C41:W41),2))</f>
        <v/>
      </c>
      <c r="Y41" s="18" t="str">
        <f aca="false"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customFormat="false" ht="9" hidden="false" customHeight="true" outlineLevel="0" collapsed="false">
      <c r="A42" s="14" t="str">
        <f aca="false">IFERROR(IF('Öğrenci Listesi'!A43="","",'Öğrenci Listesi'!A43),"")</f>
        <v/>
      </c>
      <c r="B42" s="15" t="str">
        <f aca="false">IFERROR(IF('Öğrenci Listesi'!B43="","",'Öğrenci Listesi'!B43),"")</f>
        <v/>
      </c>
      <c r="C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D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E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F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G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H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I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J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K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L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M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N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O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P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Q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R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S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T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U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V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W42" s="16" t="str">
        <f aca="false">IF(OR('Öğrenci Listesi'!B43="",Y42=""),"",IF(Y42="Çok İyi",CHOOSE(RANDBETWEEN(1,5),4,4,4,4,3),IF(Y42="İyi",CHOOSE(RANDBETWEEN(1,5),3,3,3,4,2),IF(Y42="Yeterli",CHOOSE(RANDBETWEEN(1,5),2,2,2,3,1),IF(Y42="Geliştirilmeli",CHOOSE(RANDBETWEEN(1,5),1,1,1,1,2),"")))))</f>
        <v/>
      </c>
      <c r="X42" s="17" t="str">
        <f aca="false">IF(OR('Öğrenci Listesi'!B43="",Y42=""),"",ROUND(AVERAGE(C42:W42),2))</f>
        <v/>
      </c>
      <c r="Y42" s="18" t="str">
        <f aca="false"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customFormat="false" ht="9" hidden="false" customHeight="true" outlineLevel="0" collapsed="false">
      <c r="A43" s="14" t="str">
        <f aca="false">IFERROR(IF('Öğrenci Listesi'!A44="","",'Öğrenci Listesi'!A44),"")</f>
        <v/>
      </c>
      <c r="B43" s="15" t="str">
        <f aca="false">IFERROR(IF('Öğrenci Listesi'!B44="","",'Öğrenci Listesi'!B44),"")</f>
        <v/>
      </c>
      <c r="C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D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E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F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G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H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I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J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K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L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M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N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O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P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Q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R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S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T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U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V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W43" s="16" t="str">
        <f aca="false">IF(OR('Öğrenci Listesi'!B44="",Y43=""),"",IF(Y43="Çok İyi",CHOOSE(RANDBETWEEN(1,5),4,4,4,4,3),IF(Y43="İyi",CHOOSE(RANDBETWEEN(1,5),3,3,3,4,2),IF(Y43="Yeterli",CHOOSE(RANDBETWEEN(1,5),2,2,2,3,1),IF(Y43="Geliştirilmeli",CHOOSE(RANDBETWEEN(1,5),1,1,1,1,2),"")))))</f>
        <v/>
      </c>
      <c r="X43" s="17" t="str">
        <f aca="false">IF(OR('Öğrenci Listesi'!B44="",Y43=""),"",ROUND(AVERAGE(C43:W43),2))</f>
        <v/>
      </c>
      <c r="Y43" s="18" t="str">
        <f aca="false"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customFormat="false" ht="9" hidden="false" customHeight="true" outlineLevel="0" collapsed="false">
      <c r="A44" s="14" t="str">
        <f aca="false">IFERROR(IF('Öğrenci Listesi'!A45="","",'Öğrenci Listesi'!A45),"")</f>
        <v/>
      </c>
      <c r="B44" s="15" t="str">
        <f aca="false">IFERROR(IF('Öğrenci Listesi'!B45="","",'Öğrenci Listesi'!B45),"")</f>
        <v/>
      </c>
      <c r="C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D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E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F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G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H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I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J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K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L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M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N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O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P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Q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R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S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T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U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V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W44" s="16" t="str">
        <f aca="false">IF(OR('Öğrenci Listesi'!B45="",Y44=""),"",IF(Y44="Çok İyi",CHOOSE(RANDBETWEEN(1,5),4,4,4,4,3),IF(Y44="İyi",CHOOSE(RANDBETWEEN(1,5),3,3,3,4,2),IF(Y44="Yeterli",CHOOSE(RANDBETWEEN(1,5),2,2,2,3,1),IF(Y44="Geliştirilmeli",CHOOSE(RANDBETWEEN(1,5),1,1,1,1,2),"")))))</f>
        <v/>
      </c>
      <c r="X44" s="17" t="str">
        <f aca="false">IF(OR('Öğrenci Listesi'!B45="",Y44=""),"",ROUND(AVERAGE(C44:W44),2))</f>
        <v/>
      </c>
      <c r="Y44" s="18" t="str">
        <f aca="false"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5" customFormat="false" ht="13.5" hidden="false" customHeight="true" outlineLevel="0" collapsed="false">
      <c r="A45" s="19" t="s">
        <v>45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customFormat="false" ht="13.5" hidden="false" customHeight="true" outlineLevel="0" collapsed="false">
      <c r="A46" s="11" t="str">
        <f aca="false">Bilgiler!B6&amp;" Sınıf Öğretmeni"</f>
        <v> Sınıf Öğretmeni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 t="s">
        <v>9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customFormat="false" ht="12" hidden="false" customHeight="true" outlineLevel="0" collapsed="false"/>
    <row r="48" customFormat="false" ht="13.5" hidden="false" customHeight="true" outlineLevel="0" collapsed="false">
      <c r="A48" s="11" t="n">
        <f aca="false">Bilgiler!B9</f>
        <v>0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 t="n">
        <f aca="false">Bilgiler!B10</f>
        <v>0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</sheetData>
  <mergeCells count="7">
    <mergeCell ref="A1:Y1"/>
    <mergeCell ref="A2:Y2"/>
    <mergeCell ref="A45:Y45"/>
    <mergeCell ref="A46:L46"/>
    <mergeCell ref="M46:Y46"/>
    <mergeCell ref="A48:L48"/>
    <mergeCell ref="M48:Y48"/>
  </mergeCells>
  <conditionalFormatting sqref="Y5:Y44">
    <cfRule type="cellIs" priority="2" operator="equal" aboveAverage="0" equalAverage="0" bottom="0" percent="0" rank="0" text="" dxfId="0">
      <formula>"Çok İyi"</formula>
    </cfRule>
    <cfRule type="cellIs" priority="3" operator="equal" aboveAverage="0" equalAverage="0" bottom="0" percent="0" rank="0" text="" dxfId="1">
      <formula>"İyi"</formula>
    </cfRule>
    <cfRule type="cellIs" priority="4" operator="equal" aboveAverage="0" equalAverage="0" bottom="0" percent="0" rank="0" text="" dxfId="2">
      <formula>"Yeterli"</formula>
    </cfRule>
    <cfRule type="cellIs" priority="5" operator="equal" aboveAverage="0" equalAverage="0" bottom="0" percent="0" rank="0" text="" dxfId="3">
      <formula>"Geliştirilmeli"</formula>
    </cfRule>
  </conditionalFormatting>
  <conditionalFormatting sqref="X5:X44">
    <cfRule type="cellIs" priority="6" operator="greaterThanOrEqual" aboveAverage="0" equalAverage="0" bottom="0" percent="0" rank="0" text="" dxfId="0">
      <formula>3</formula>
    </cfRule>
    <cfRule type="expression" priority="7" aboveAverage="0" equalAverage="0" bottom="0" percent="0" rank="0" text="" dxfId="1">
      <formula>AND(X5&gt;=2,X5&lt;3)</formula>
    </cfRule>
    <cfRule type="expression" priority="8" aboveAverage="0" equalAverage="0" bottom="0" percent="0" rank="0" text="" dxfId="2">
      <formula>AND(X5&gt;=1.5,X5&lt;2)</formula>
    </cfRule>
    <cfRule type="expression" priority="9" aboveAverage="0" equalAverage="0" bottom="0" percent="0" rank="0" text="" dxfId="3">
      <formula>AND(X5&gt;0,X5&lt;1.5)</formula>
    </cfRule>
  </conditionalFormatting>
  <printOptions headings="false" gridLines="false" gridLinesSet="true" horizontalCentered="true" verticalCentered="false"/>
  <pageMargins left="0.2" right="0.2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2026-05-08T21:24:48Z</dcterms:created>
  <dc:creator>openpyxl</dc:creator>
  <dc:description/>
  <dc:language>en-US</dc:language>
  <cp:lastModifiedBy/>
  <dcterms:modified xsi:type="dcterms:W3CDTF">2026-05-08T21:24:48Z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