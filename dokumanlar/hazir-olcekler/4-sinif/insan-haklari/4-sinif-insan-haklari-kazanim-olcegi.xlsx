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giler" sheetId="1" state="visible" r:id="rId3"/>
    <sheet name="Öğrenci Listesi" sheetId="2" state="visible" r:id="rId4"/>
    <sheet name="Ölçek" sheetId="3" state="visible" r:id="rId5"/>
  </sheets>
  <definedNames>
    <definedName function="false" hidden="false" localSheetId="2" name="_xlnm.Print_Area" vbProcedure="false">Ölçek!$A$1:$AG$48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<sst xmlns="http://schemas.openxmlformats.org/spreadsheetml/2006/main" count="56" uniqueCount="54">
  <si>
    <t xml:space="preserve">📝 BİLGİLERİ DOLDURUNUZ</t>
  </si>
  <si>
    <t xml:space="preserve">Aşağıdaki bilgileri kendi okulunuza ve sınıfınıza göre doldurun. 'Ölçek' sayfasındaki başlıklar otomatik güncellenecek.</t>
  </si>
  <si>
    <t xml:space="preserve">Okul Adı</t>
  </si>
  <si>
    <t xml:space="preserve">Eğitim Öğretim Yılı</t>
  </si>
  <si>
    <t xml:space="preserve">Sınıf / Şube</t>
  </si>
  <si>
    <t xml:space="preserve">Dönem</t>
  </si>
  <si>
    <t xml:space="preserve">Ders</t>
  </si>
  <si>
    <t xml:space="preserve">İnsan Hakları, Yurttaşlık ve Demokrasi</t>
  </si>
  <si>
    <t xml:space="preserve">Sınıf Öğretmeni</t>
  </si>
  <si>
    <t xml:space="preserve">Okul Müdürü</t>
  </si>
  <si>
    <t xml:space="preserve">📋 SİSTEMDEN ÖĞRENCİ LİSTESİNİ BURAYA YAPIŞTIRIN</t>
  </si>
  <si>
    <t xml:space="preserve">Sistemde notları işaretledikten sonra tüm tabloyu kopyalayın (Ctrl+C), aşağıdaki sarı alana yapıştırın (Ctrl+V).</t>
  </si>
  <si>
    <t xml:space="preserve">✓ Öğrenci adları, numaraları ve seviyeler 'Ölçek' sayfasına otomatik aktarılacak.</t>
  </si>
  <si>
    <t xml:space="preserve">NO</t>
  </si>
  <si>
    <t xml:space="preserve">ADI SOYADI</t>
  </si>
  <si>
    <t xml:space="preserve">Geliştirilmeli</t>
  </si>
  <si>
    <t xml:space="preserve">Yeterli</t>
  </si>
  <si>
    <t xml:space="preserve">İyi</t>
  </si>
  <si>
    <t xml:space="preserve">Çok İyi</t>
  </si>
  <si>
    <t xml:space="preserve">SONUÇ</t>
  </si>
  <si>
    <t xml:space="preserve">(yok sayılır)</t>
  </si>
  <si>
    <t xml:space="preserve">ADI VE SOYADI</t>
  </si>
  <si>
    <t xml:space="preserve">İnsan olmanın niteliklerini açıklar</t>
  </si>
  <si>
    <t xml:space="preserve">İnsanın doğuştan gelen temel ve vazgeçilmez hakları olduğunu bilir</t>
  </si>
  <si>
    <t xml:space="preserve">Haklarına kendi yaşamından örnekler verir</t>
  </si>
  <si>
    <t xml:space="preserve">Çocuk ile yetişkin arasındaki farkları açıklar</t>
  </si>
  <si>
    <t xml:space="preserve">Hak, özgürlük ve sorumluluk arasındaki ilişkiyi fark eder</t>
  </si>
  <si>
    <t xml:space="preserve">İnsan olma sorumluluğunu taşımanın yollarını açıklar</t>
  </si>
  <si>
    <t xml:space="preserve">Hak ve özgürlüklerini kullanabilen ve kullanamayan çocukların yaşantılarını karşılaştırır</t>
  </si>
  <si>
    <t xml:space="preserve">Hak ve özgürlüklerinin ihlal edildiği veya kısıtlandığı durumlarda hissettiklerini ifade eder</t>
  </si>
  <si>
    <t xml:space="preserve">Hak ve özgürlüklerin ihlal edildiği veya kısıtlandığı durumların çözümünde ne tür sorumluluklar üstlenebileceğine ilişkin örnekler verir</t>
  </si>
  <si>
    <t xml:space="preserve">Hak ve özgürlüklere saygı gösterir</t>
  </si>
  <si>
    <t xml:space="preserve">Hak ve özgürlüklerin kullanılmasının birlikte yaşama kültürüne etkisini değerlendirir</t>
  </si>
  <si>
    <t xml:space="preserve">İnsanların farklılıklarına saygı gösterir</t>
  </si>
  <si>
    <t xml:space="preserve">Adalet ve eşitlik kavramlarını birbiriyle ilişkili olarak açıklar</t>
  </si>
  <si>
    <t xml:space="preserve">İnsanların hak ve özgürlükler bakımından eşit olduğunu bilir</t>
  </si>
  <si>
    <t xml:space="preserve">Adaletin veya eşitliğin sağlandığı ve sağlanamadığı durumları karşılaştırır</t>
  </si>
  <si>
    <t xml:space="preserve">Adil veya eşit davranılmadığında insanlarda oluşabilecek duyguları açıklar</t>
  </si>
  <si>
    <t xml:space="preserve">İnsanlar arasındaki anlaşmazlıkların nedenlerini açıklar</t>
  </si>
  <si>
    <t xml:space="preserve">Uzlaşı gerektiren ve gerektirmeyen durumları karşılaştırır</t>
  </si>
  <si>
    <t xml:space="preserve">Anlaşmazlıkları çözmek için uzlaşı yolları arar</t>
  </si>
  <si>
    <t xml:space="preserve">Anlaşmazlık ve uzlaşı durumlarının sonuçlarını örneklerle karşılaştırır</t>
  </si>
  <si>
    <t xml:space="preserve">Kural kavramını sorgular</t>
  </si>
  <si>
    <t xml:space="preserve">Kuralın, özgürlük ve hak arasındaki ilişkiye etkisini değerlendirir</t>
  </si>
  <si>
    <t xml:space="preserve">Kurallara uymanın toplumsal ahenge ve birlikte yaşamaya olan katkısını değerlendirir</t>
  </si>
  <si>
    <t xml:space="preserve">Kuralların uygulanmasına katkı sağlar</t>
  </si>
  <si>
    <t xml:space="preserve">Birlikte yaşamak için bir yurda ihtiyaç olduğunu bilir</t>
  </si>
  <si>
    <t xml:space="preserve">Birlikte yaşayabilmek için düzenleyici bir kuruma ihtiyaç olduğunu kavrar</t>
  </si>
  <si>
    <t xml:space="preserve">Devletin yurttaşlarına karşı sorumluluklarını açıklar</t>
  </si>
  <si>
    <t xml:space="preserve">Yurttaş olmanın sorumluluklarını açıklar</t>
  </si>
  <si>
    <t xml:space="preserve">Birlikte yaşama kültürünün günlük hayattaki yansımalarına örnekler verir</t>
  </si>
  <si>
    <t xml:space="preserve">ORTALAMA</t>
  </si>
  <si>
    <t xml:space="preserve">SEVİYE</t>
  </si>
  <si>
    <t xml:space="preserve">DEĞERLENDİRME ÖLÇEĞİ:  4 = Çok İyi  •  3 = İyi  •  2 = Yeterli  •  1 = Geliştirilmeli  |  💡 Öğrenci sayınız azsa boş satırları seçip silin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</si>
</sst>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7871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871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6"/>
      <color rgb="FFFFFFFF"/>
      <name val="Arial"/>
      <family val="0"/>
      <charset val="1"/>
    </font>
    <font>
      <sz val="7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  <fill>
      <patternFill patternType="solid">
        <fgColor rgb="FFE7F3FF"/>
        <bgColor rgb="FFF5F5F4"/>
      </patternFill>
    </fill>
    <fill>
      <patternFill patternType="solid">
        <fgColor rgb="FFFFF8E7"/>
        <bgColor rgb="FFF5F5F4"/>
      </patternFill>
    </fill>
    <fill>
      <patternFill patternType="solid">
        <fgColor rgb="FFF5F5F4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16C"/>
      <rgbColor rgb="FF9999FF"/>
      <rgbColor rgb="FF993366"/>
      <rgbColor rgb="FFFFF8E7"/>
      <rgbColor rgb="FFE7F3FF"/>
      <rgbColor rgb="FF660066"/>
      <rgbColor rgb="FFFF8080"/>
      <rgbColor rgb="FF0066CC"/>
      <rgbColor rgb="FFF5F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30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27.75" hidden="false" customHeight="true" outlineLevel="0" collapsed="false">
      <c r="A4" s="3" t="s">
        <v>2</v>
      </c>
      <c r="B4" s="4"/>
    </row>
    <row r="5" customFormat="false" ht="27.75" hidden="false" customHeight="true" outlineLevel="0" collapsed="false">
      <c r="A5" s="3" t="s">
        <v>3</v>
      </c>
      <c r="B5" s="4"/>
    </row>
    <row r="6" customFormat="false" ht="27.75" hidden="false" customHeight="true" outlineLevel="0" collapsed="false">
      <c r="A6" s="3" t="s">
        <v>4</v>
      </c>
      <c r="B6" s="4"/>
    </row>
    <row r="7" customFormat="false" ht="27.75" hidden="false" customHeight="true" outlineLevel="0" collapsed="false">
      <c r="A7" s="3" t="s">
        <v>5</v>
      </c>
      <c r="B7" s="4"/>
    </row>
    <row r="8" customFormat="false" ht="27.75" hidden="false" customHeight="true" outlineLevel="0" collapsed="false">
      <c r="A8" s="3" t="s">
        <v>6</v>
      </c>
      <c r="B8" s="4" t="s">
        <v>7</v>
      </c>
    </row>
    <row r="9" customFormat="false" ht="27.75" hidden="false" customHeight="true" outlineLevel="0" collapsed="false">
      <c r="A9" s="3" t="s">
        <v>8</v>
      </c>
      <c r="B9" s="4"/>
    </row>
    <row r="10" customFormat="false" ht="27.75" hidden="false" customHeight="true" outlineLevel="0" collapsed="false">
      <c r="A10" s="3" t="s">
        <v>9</v>
      </c>
      <c r="B10" s="4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5" t="s">
        <v>11</v>
      </c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12</v>
      </c>
      <c r="B3" s="6"/>
      <c r="C3" s="6"/>
      <c r="D3" s="6"/>
      <c r="E3" s="6"/>
      <c r="F3" s="6"/>
      <c r="G3" s="6"/>
      <c r="H3" s="6"/>
    </row>
    <row r="5" customFormat="false" ht="21.75" hidden="false" customHeight="true" outlineLevel="0" collapsed="false">
      <c r="A5" s="7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</row>
    <row r="6" customFormat="false" ht="18" hidden="false" customHeight="true" outlineLevel="0" collapsed="false">
      <c r="A6" s="8"/>
      <c r="B6" s="9"/>
      <c r="C6" s="10"/>
      <c r="D6" s="10"/>
      <c r="E6" s="10"/>
      <c r="F6" s="10"/>
      <c r="G6" s="8"/>
      <c r="H6" s="10"/>
    </row>
    <row r="7" customFormat="false" ht="18" hidden="false" customHeight="true" outlineLevel="0" collapsed="false">
      <c r="A7" s="8"/>
      <c r="B7" s="9"/>
      <c r="C7" s="10"/>
      <c r="D7" s="10"/>
      <c r="E7" s="10"/>
      <c r="F7" s="10"/>
      <c r="G7" s="8"/>
      <c r="H7" s="10"/>
    </row>
    <row r="8" customFormat="false" ht="18" hidden="false" customHeight="true" outlineLevel="0" collapsed="false">
      <c r="A8" s="8"/>
      <c r="B8" s="9"/>
      <c r="C8" s="10"/>
      <c r="D8" s="10"/>
      <c r="E8" s="10"/>
      <c r="F8" s="10"/>
      <c r="G8" s="8"/>
      <c r="H8" s="10"/>
    </row>
    <row r="9" customFormat="false" ht="18" hidden="false" customHeight="true" outlineLevel="0" collapsed="false">
      <c r="A9" s="8"/>
      <c r="B9" s="9"/>
      <c r="C9" s="10"/>
      <c r="D9" s="10"/>
      <c r="E9" s="10"/>
      <c r="F9" s="10"/>
      <c r="G9" s="8"/>
      <c r="H9" s="10"/>
    </row>
    <row r="10" customFormat="false" ht="18" hidden="false" customHeight="true" outlineLevel="0" collapsed="false">
      <c r="A10" s="8"/>
      <c r="B10" s="9"/>
      <c r="C10" s="10"/>
      <c r="D10" s="10"/>
      <c r="E10" s="10"/>
      <c r="F10" s="10"/>
      <c r="G10" s="8"/>
      <c r="H10" s="10"/>
    </row>
    <row r="11" customFormat="false" ht="18" hidden="false" customHeight="true" outlineLevel="0" collapsed="false">
      <c r="A11" s="8"/>
      <c r="B11" s="9"/>
      <c r="C11" s="10"/>
      <c r="D11" s="10"/>
      <c r="E11" s="10"/>
      <c r="F11" s="10"/>
      <c r="G11" s="8"/>
      <c r="H11" s="10"/>
    </row>
    <row r="12" customFormat="false" ht="18" hidden="false" customHeight="true" outlineLevel="0" collapsed="false">
      <c r="A12" s="8"/>
      <c r="B12" s="9"/>
      <c r="C12" s="10"/>
      <c r="D12" s="10"/>
      <c r="E12" s="10"/>
      <c r="F12" s="10"/>
      <c r="G12" s="8"/>
      <c r="H12" s="10"/>
    </row>
    <row r="13" customFormat="false" ht="18" hidden="false" customHeight="true" outlineLevel="0" collapsed="false">
      <c r="A13" s="8"/>
      <c r="B13" s="9"/>
      <c r="C13" s="10"/>
      <c r="D13" s="10"/>
      <c r="E13" s="10"/>
      <c r="F13" s="10"/>
      <c r="G13" s="8"/>
      <c r="H13" s="10"/>
    </row>
    <row r="14" customFormat="false" ht="18" hidden="false" customHeight="true" outlineLevel="0" collapsed="false">
      <c r="A14" s="8"/>
      <c r="B14" s="9"/>
      <c r="C14" s="10"/>
      <c r="D14" s="10"/>
      <c r="E14" s="10"/>
      <c r="F14" s="10"/>
      <c r="G14" s="8"/>
      <c r="H14" s="10"/>
    </row>
    <row r="15" customFormat="false" ht="18" hidden="false" customHeight="true" outlineLevel="0" collapsed="false">
      <c r="A15" s="8"/>
      <c r="B15" s="9"/>
      <c r="C15" s="10"/>
      <c r="D15" s="10"/>
      <c r="E15" s="10"/>
      <c r="F15" s="10"/>
      <c r="G15" s="8"/>
      <c r="H15" s="10"/>
    </row>
    <row r="16" customFormat="false" ht="18" hidden="false" customHeight="true" outlineLevel="0" collapsed="false">
      <c r="A16" s="8"/>
      <c r="B16" s="9"/>
      <c r="C16" s="10"/>
      <c r="D16" s="10"/>
      <c r="E16" s="10"/>
      <c r="F16" s="10"/>
      <c r="G16" s="8"/>
      <c r="H16" s="10"/>
    </row>
    <row r="17" customFormat="false" ht="18" hidden="false" customHeight="true" outlineLevel="0" collapsed="false">
      <c r="A17" s="8"/>
      <c r="B17" s="9"/>
      <c r="C17" s="10"/>
      <c r="D17" s="10"/>
      <c r="E17" s="10"/>
      <c r="F17" s="10"/>
      <c r="G17" s="8"/>
      <c r="H17" s="10"/>
    </row>
    <row r="18" customFormat="false" ht="18" hidden="false" customHeight="true" outlineLevel="0" collapsed="false">
      <c r="A18" s="8"/>
      <c r="B18" s="9"/>
      <c r="C18" s="10"/>
      <c r="D18" s="10"/>
      <c r="E18" s="10"/>
      <c r="F18" s="10"/>
      <c r="G18" s="8"/>
      <c r="H18" s="10"/>
    </row>
    <row r="19" customFormat="false" ht="18" hidden="false" customHeight="true" outlineLevel="0" collapsed="false">
      <c r="A19" s="8"/>
      <c r="B19" s="9"/>
      <c r="C19" s="10"/>
      <c r="D19" s="10"/>
      <c r="E19" s="10"/>
      <c r="F19" s="10"/>
      <c r="G19" s="8"/>
      <c r="H19" s="10"/>
    </row>
    <row r="20" customFormat="false" ht="18" hidden="false" customHeight="true" outlineLevel="0" collapsed="false">
      <c r="A20" s="8"/>
      <c r="B20" s="9"/>
      <c r="C20" s="10"/>
      <c r="D20" s="10"/>
      <c r="E20" s="10"/>
      <c r="F20" s="10"/>
      <c r="G20" s="8"/>
      <c r="H20" s="10"/>
    </row>
    <row r="21" customFormat="false" ht="18" hidden="false" customHeight="true" outlineLevel="0" collapsed="false">
      <c r="A21" s="8"/>
      <c r="B21" s="9"/>
      <c r="C21" s="10"/>
      <c r="D21" s="10"/>
      <c r="E21" s="10"/>
      <c r="F21" s="10"/>
      <c r="G21" s="8"/>
      <c r="H21" s="10"/>
    </row>
    <row r="22" customFormat="false" ht="18" hidden="false" customHeight="true" outlineLevel="0" collapsed="false">
      <c r="A22" s="8"/>
      <c r="B22" s="9"/>
      <c r="C22" s="10"/>
      <c r="D22" s="10"/>
      <c r="E22" s="10"/>
      <c r="F22" s="10"/>
      <c r="G22" s="8"/>
      <c r="H22" s="10"/>
    </row>
    <row r="23" customFormat="false" ht="18" hidden="false" customHeight="true" outlineLevel="0" collapsed="false">
      <c r="A23" s="8"/>
      <c r="B23" s="9"/>
      <c r="C23" s="10"/>
      <c r="D23" s="10"/>
      <c r="E23" s="10"/>
      <c r="F23" s="10"/>
      <c r="G23" s="8"/>
      <c r="H23" s="10"/>
    </row>
    <row r="24" customFormat="false" ht="18" hidden="false" customHeight="true" outlineLevel="0" collapsed="false">
      <c r="A24" s="8"/>
      <c r="B24" s="9"/>
      <c r="C24" s="10"/>
      <c r="D24" s="10"/>
      <c r="E24" s="10"/>
      <c r="F24" s="10"/>
      <c r="G24" s="8"/>
      <c r="H24" s="10"/>
    </row>
    <row r="25" customFormat="false" ht="18" hidden="false" customHeight="true" outlineLevel="0" collapsed="false">
      <c r="A25" s="8"/>
      <c r="B25" s="9"/>
      <c r="C25" s="10"/>
      <c r="D25" s="10"/>
      <c r="E25" s="10"/>
      <c r="F25" s="10"/>
      <c r="G25" s="8"/>
      <c r="H25" s="10"/>
    </row>
    <row r="26" customFormat="false" ht="18" hidden="false" customHeight="true" outlineLevel="0" collapsed="false">
      <c r="A26" s="8"/>
      <c r="B26" s="9"/>
      <c r="C26" s="10"/>
      <c r="D26" s="10"/>
      <c r="E26" s="10"/>
      <c r="F26" s="10"/>
      <c r="G26" s="8"/>
      <c r="H26" s="10"/>
    </row>
    <row r="27" customFormat="false" ht="18" hidden="false" customHeight="true" outlineLevel="0" collapsed="false">
      <c r="A27" s="8"/>
      <c r="B27" s="9"/>
      <c r="C27" s="10"/>
      <c r="D27" s="10"/>
      <c r="E27" s="10"/>
      <c r="F27" s="10"/>
      <c r="G27" s="8"/>
      <c r="H27" s="10"/>
    </row>
    <row r="28" customFormat="false" ht="18" hidden="false" customHeight="true" outlineLevel="0" collapsed="false">
      <c r="A28" s="8"/>
      <c r="B28" s="9"/>
      <c r="C28" s="10"/>
      <c r="D28" s="10"/>
      <c r="E28" s="10"/>
      <c r="F28" s="10"/>
      <c r="G28" s="8"/>
      <c r="H28" s="10"/>
    </row>
    <row r="29" customFormat="false" ht="18" hidden="false" customHeight="true" outlineLevel="0" collapsed="false">
      <c r="A29" s="8"/>
      <c r="B29" s="9"/>
      <c r="C29" s="10"/>
      <c r="D29" s="10"/>
      <c r="E29" s="10"/>
      <c r="F29" s="10"/>
      <c r="G29" s="8"/>
      <c r="H29" s="10"/>
    </row>
    <row r="30" customFormat="false" ht="18" hidden="false" customHeight="true" outlineLevel="0" collapsed="false">
      <c r="A30" s="8"/>
      <c r="B30" s="9"/>
      <c r="C30" s="10"/>
      <c r="D30" s="10"/>
      <c r="E30" s="10"/>
      <c r="F30" s="10"/>
      <c r="G30" s="8"/>
      <c r="H30" s="10"/>
    </row>
    <row r="31" customFormat="false" ht="18" hidden="false" customHeight="true" outlineLevel="0" collapsed="false">
      <c r="A31" s="8"/>
      <c r="B31" s="9"/>
      <c r="C31" s="10"/>
      <c r="D31" s="10"/>
      <c r="E31" s="10"/>
      <c r="F31" s="10"/>
      <c r="G31" s="8"/>
      <c r="H31" s="10"/>
    </row>
    <row r="32" customFormat="false" ht="18" hidden="false" customHeight="true" outlineLevel="0" collapsed="false">
      <c r="A32" s="8"/>
      <c r="B32" s="9"/>
      <c r="C32" s="10"/>
      <c r="D32" s="10"/>
      <c r="E32" s="10"/>
      <c r="F32" s="10"/>
      <c r="G32" s="8"/>
      <c r="H32" s="10"/>
    </row>
    <row r="33" customFormat="false" ht="18" hidden="false" customHeight="true" outlineLevel="0" collapsed="false">
      <c r="A33" s="8"/>
      <c r="B33" s="9"/>
      <c r="C33" s="10"/>
      <c r="D33" s="10"/>
      <c r="E33" s="10"/>
      <c r="F33" s="10"/>
      <c r="G33" s="8"/>
      <c r="H33" s="10"/>
    </row>
    <row r="34" customFormat="false" ht="18" hidden="false" customHeight="true" outlineLevel="0" collapsed="false">
      <c r="A34" s="8"/>
      <c r="B34" s="9"/>
      <c r="C34" s="10"/>
      <c r="D34" s="10"/>
      <c r="E34" s="10"/>
      <c r="F34" s="10"/>
      <c r="G34" s="8"/>
      <c r="H34" s="10"/>
    </row>
    <row r="35" customFormat="false" ht="18" hidden="false" customHeight="true" outlineLevel="0" collapsed="false">
      <c r="A35" s="8"/>
      <c r="B35" s="9"/>
      <c r="C35" s="10"/>
      <c r="D35" s="10"/>
      <c r="E35" s="10"/>
      <c r="F35" s="10"/>
      <c r="G35" s="8"/>
      <c r="H35" s="10"/>
    </row>
    <row r="36" customFormat="false" ht="18" hidden="false" customHeight="true" outlineLevel="0" collapsed="false">
      <c r="A36" s="8"/>
      <c r="B36" s="9"/>
      <c r="C36" s="10"/>
      <c r="D36" s="10"/>
      <c r="E36" s="10"/>
      <c r="F36" s="10"/>
      <c r="G36" s="8"/>
      <c r="H36" s="10"/>
    </row>
    <row r="37" customFormat="false" ht="18" hidden="false" customHeight="true" outlineLevel="0" collapsed="false">
      <c r="A37" s="8"/>
      <c r="B37" s="9"/>
      <c r="C37" s="10"/>
      <c r="D37" s="10"/>
      <c r="E37" s="10"/>
      <c r="F37" s="10"/>
      <c r="G37" s="8"/>
      <c r="H37" s="10"/>
    </row>
    <row r="38" customFormat="false" ht="18" hidden="false" customHeight="true" outlineLevel="0" collapsed="false">
      <c r="A38" s="8"/>
      <c r="B38" s="9"/>
      <c r="C38" s="10"/>
      <c r="D38" s="10"/>
      <c r="E38" s="10"/>
      <c r="F38" s="10"/>
      <c r="G38" s="8"/>
      <c r="H38" s="10"/>
    </row>
    <row r="39" customFormat="false" ht="18" hidden="false" customHeight="true" outlineLevel="0" collapsed="false">
      <c r="A39" s="8"/>
      <c r="B39" s="9"/>
      <c r="C39" s="10"/>
      <c r="D39" s="10"/>
      <c r="E39" s="10"/>
      <c r="F39" s="10"/>
      <c r="G39" s="8"/>
      <c r="H39" s="10"/>
    </row>
    <row r="40" customFormat="false" ht="18" hidden="false" customHeight="true" outlineLevel="0" collapsed="false">
      <c r="A40" s="8"/>
      <c r="B40" s="9"/>
      <c r="C40" s="10"/>
      <c r="D40" s="10"/>
      <c r="E40" s="10"/>
      <c r="F40" s="10"/>
      <c r="G40" s="8"/>
      <c r="H40" s="10"/>
    </row>
    <row r="41" customFormat="false" ht="18" hidden="false" customHeight="true" outlineLevel="0" collapsed="false">
      <c r="A41" s="8"/>
      <c r="B41" s="9"/>
      <c r="C41" s="10"/>
      <c r="D41" s="10"/>
      <c r="E41" s="10"/>
      <c r="F41" s="10"/>
      <c r="G41" s="8"/>
      <c r="H41" s="10"/>
    </row>
    <row r="42" customFormat="false" ht="18" hidden="false" customHeight="true" outlineLevel="0" collapsed="false">
      <c r="A42" s="8"/>
      <c r="B42" s="9"/>
      <c r="C42" s="10"/>
      <c r="D42" s="10"/>
      <c r="E42" s="10"/>
      <c r="F42" s="10"/>
      <c r="G42" s="8"/>
      <c r="H42" s="10"/>
    </row>
    <row r="43" customFormat="false" ht="18" hidden="false" customHeight="true" outlineLevel="0" collapsed="false">
      <c r="A43" s="8"/>
      <c r="B43" s="9"/>
      <c r="C43" s="10"/>
      <c r="D43" s="10"/>
      <c r="E43" s="10"/>
      <c r="F43" s="10"/>
      <c r="G43" s="8"/>
      <c r="H43" s="10"/>
    </row>
    <row r="44" customFormat="false" ht="18" hidden="false" customHeight="true" outlineLevel="0" collapsed="false">
      <c r="A44" s="8"/>
      <c r="B44" s="9"/>
      <c r="C44" s="10"/>
      <c r="D44" s="10"/>
      <c r="E44" s="10"/>
      <c r="F44" s="10"/>
      <c r="G44" s="8"/>
      <c r="H44" s="10"/>
    </row>
    <row r="45" customFormat="false" ht="18" hidden="false" customHeight="true" outlineLevel="0" collapsed="false">
      <c r="A45" s="8"/>
      <c r="B45" s="9"/>
      <c r="C45" s="10"/>
      <c r="D45" s="10"/>
      <c r="E45" s="10"/>
      <c r="F45" s="10"/>
      <c r="G45" s="8"/>
      <c r="H45" s="10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16"/>
    <col collapsed="false" customWidth="true" hidden="false" outlineLevel="0" max="31" min="3" style="0" width="3.61"/>
    <col collapsed="false" customWidth="true" hidden="false" outlineLevel="0" max="32" min="32" style="0" width="9"/>
    <col collapsed="false" customWidth="true" hidden="false" outlineLevel="0" max="33" min="33" style="0" width="13"/>
  </cols>
  <sheetData>
    <row r="1" customFormat="false" ht="13.5" hidden="false" customHeight="true" outlineLevel="0" collapsed="false">
      <c r="A1" s="11" t="str">
        <f aca="false">Bilgiler!B4&amp;" • "&amp;Bilgiler!B5&amp;" EĞİTİM ÖĞRETİM YILI"</f>
        <v> •  EĞİTİM ÖĞRETİM YILI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customFormat="false" ht="13.5" hidden="false" customHeight="true" outlineLevel="0" collapsed="false">
      <c r="A2" s="11" t="str">
        <f aca="false">Bilgiler!B6&amp;" SINIFI "&amp;Bilgiler!B7&amp;" "&amp;Bilgiler!B8&amp;" DERSİ KAZANIM DEĞERLENDİRME ÖLÇEĞİ"</f>
        <v> SINIFI  İnsan Hakları, Yurttaşlık ve Demokrasi DERSİ KAZANIM DEĞERLENDİRME ÖLÇEĞİ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4" customFormat="false" ht="144.75" hidden="false" customHeight="true" outlineLevel="0" collapsed="false">
      <c r="A4" s="12" t="s">
        <v>13</v>
      </c>
      <c r="B4" s="12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33</v>
      </c>
      <c r="O4" s="13" t="s">
        <v>34</v>
      </c>
      <c r="P4" s="13" t="s">
        <v>35</v>
      </c>
      <c r="Q4" s="13" t="s">
        <v>36</v>
      </c>
      <c r="R4" s="13" t="s">
        <v>37</v>
      </c>
      <c r="S4" s="13" t="s">
        <v>38</v>
      </c>
      <c r="T4" s="13" t="s">
        <v>39</v>
      </c>
      <c r="U4" s="13" t="s">
        <v>40</v>
      </c>
      <c r="V4" s="13" t="s">
        <v>41</v>
      </c>
      <c r="W4" s="13" t="s">
        <v>42</v>
      </c>
      <c r="X4" s="13" t="s">
        <v>43</v>
      </c>
      <c r="Y4" s="13" t="s">
        <v>44</v>
      </c>
      <c r="Z4" s="13" t="s">
        <v>45</v>
      </c>
      <c r="AA4" s="13" t="s">
        <v>46</v>
      </c>
      <c r="AB4" s="13" t="s">
        <v>47</v>
      </c>
      <c r="AC4" s="13" t="s">
        <v>48</v>
      </c>
      <c r="AD4" s="13" t="s">
        <v>49</v>
      </c>
      <c r="AE4" s="13" t="s">
        <v>50</v>
      </c>
      <c r="AF4" s="12" t="s">
        <v>51</v>
      </c>
      <c r="AG4" s="12" t="s">
        <v>52</v>
      </c>
    </row>
    <row r="5" customFormat="false" ht="9" hidden="false" customHeight="true" outlineLevel="0" collapsed="false">
      <c r="A5" s="14" t="str">
        <f aca="false">IFERROR(IF('Öğrenci Listesi'!A6="","",'Öğrenci Listesi'!A6),"")</f>
        <v/>
      </c>
      <c r="B5" s="15" t="str">
        <f aca="false">IFERROR(IF('Öğrenci Listesi'!B6="","",'Öğrenci Listesi'!B6),"")</f>
        <v/>
      </c>
      <c r="C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D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E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F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G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H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I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J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K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L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M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N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O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P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Q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R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S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T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U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V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W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X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Y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Z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AA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AB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AC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AD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AE5" s="16" t="str">
        <f aca="false">IF(OR('Öğrenci Listesi'!B6="",AG5=""),"",IF(AG5="Çok İyi",CHOOSE(RANDBETWEEN(1,5),4,4,4,4,3),IF(AG5="İyi",CHOOSE(RANDBETWEEN(1,5),3,3,3,4,2),IF(AG5="Yeterli",CHOOSE(RANDBETWEEN(1,5),2,2,2,3,1),IF(AG5="Geliştirilmeli",CHOOSE(RANDBETWEEN(1,5),1,1,1,1,2),"")))))</f>
        <v/>
      </c>
      <c r="AF5" s="17" t="str">
        <f aca="false">IF(OR('Öğrenci Listesi'!B6="",AG5=""),"",ROUND(AVERAGE(C5:AE5),2))</f>
        <v/>
      </c>
      <c r="AG5" s="18" t="str">
        <f aca="false"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customFormat="false" ht="9" hidden="false" customHeight="true" outlineLevel="0" collapsed="false">
      <c r="A6" s="14" t="str">
        <f aca="false">IFERROR(IF('Öğrenci Listesi'!A7="","",'Öğrenci Listesi'!A7),"")</f>
        <v/>
      </c>
      <c r="B6" s="15" t="str">
        <f aca="false">IFERROR(IF('Öğrenci Listesi'!B7="","",'Öğrenci Listesi'!B7),"")</f>
        <v/>
      </c>
      <c r="C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D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E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F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G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H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I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J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K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L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M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N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O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P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Q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R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S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T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U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V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W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X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Y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Z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AA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AB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AC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AD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AE6" s="16" t="str">
        <f aca="false">IF(OR('Öğrenci Listesi'!B7="",AG6=""),"",IF(AG6="Çok İyi",CHOOSE(RANDBETWEEN(1,5),4,4,4,4,3),IF(AG6="İyi",CHOOSE(RANDBETWEEN(1,5),3,3,3,4,2),IF(AG6="Yeterli",CHOOSE(RANDBETWEEN(1,5),2,2,2,3,1),IF(AG6="Geliştirilmeli",CHOOSE(RANDBETWEEN(1,5),1,1,1,1,2),"")))))</f>
        <v/>
      </c>
      <c r="AF6" s="17" t="str">
        <f aca="false">IF(OR('Öğrenci Listesi'!B7="",AG6=""),"",ROUND(AVERAGE(C6:AE6),2))</f>
        <v/>
      </c>
      <c r="AG6" s="18" t="str">
        <f aca="false"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customFormat="false" ht="9" hidden="false" customHeight="true" outlineLevel="0" collapsed="false">
      <c r="A7" s="14" t="str">
        <f aca="false">IFERROR(IF('Öğrenci Listesi'!A8="","",'Öğrenci Listesi'!A8),"")</f>
        <v/>
      </c>
      <c r="B7" s="15" t="str">
        <f aca="false">IFERROR(IF('Öğrenci Listesi'!B8="","",'Öğrenci Listesi'!B8),"")</f>
        <v/>
      </c>
      <c r="C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D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E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F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G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H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I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J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K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L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M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N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O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P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Q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R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S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T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U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V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W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X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Y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Z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AA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AB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AC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AD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AE7" s="16" t="str">
        <f aca="false">IF(OR('Öğrenci Listesi'!B8="",AG7=""),"",IF(AG7="Çok İyi",CHOOSE(RANDBETWEEN(1,5),4,4,4,4,3),IF(AG7="İyi",CHOOSE(RANDBETWEEN(1,5),3,3,3,4,2),IF(AG7="Yeterli",CHOOSE(RANDBETWEEN(1,5),2,2,2,3,1),IF(AG7="Geliştirilmeli",CHOOSE(RANDBETWEEN(1,5),1,1,1,1,2),"")))))</f>
        <v/>
      </c>
      <c r="AF7" s="17" t="str">
        <f aca="false">IF(OR('Öğrenci Listesi'!B8="",AG7=""),"",ROUND(AVERAGE(C7:AE7),2))</f>
        <v/>
      </c>
      <c r="AG7" s="18" t="str">
        <f aca="false"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customFormat="false" ht="9" hidden="false" customHeight="true" outlineLevel="0" collapsed="false">
      <c r="A8" s="14" t="str">
        <f aca="false">IFERROR(IF('Öğrenci Listesi'!A9="","",'Öğrenci Listesi'!A9),"")</f>
        <v/>
      </c>
      <c r="B8" s="15" t="str">
        <f aca="false">IFERROR(IF('Öğrenci Listesi'!B9="","",'Öğrenci Listesi'!B9),"")</f>
        <v/>
      </c>
      <c r="C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D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E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F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G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H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I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J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K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L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M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N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O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P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Q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R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S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T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U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V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W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X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Y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Z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AA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AB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AC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AD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AE8" s="16" t="str">
        <f aca="false">IF(OR('Öğrenci Listesi'!B9="",AG8=""),"",IF(AG8="Çok İyi",CHOOSE(RANDBETWEEN(1,5),4,4,4,4,3),IF(AG8="İyi",CHOOSE(RANDBETWEEN(1,5),3,3,3,4,2),IF(AG8="Yeterli",CHOOSE(RANDBETWEEN(1,5),2,2,2,3,1),IF(AG8="Geliştirilmeli",CHOOSE(RANDBETWEEN(1,5),1,1,1,1,2),"")))))</f>
        <v/>
      </c>
      <c r="AF8" s="17" t="str">
        <f aca="false">IF(OR('Öğrenci Listesi'!B9="",AG8=""),"",ROUND(AVERAGE(C8:AE8),2))</f>
        <v/>
      </c>
      <c r="AG8" s="18" t="str">
        <f aca="false"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customFormat="false" ht="9" hidden="false" customHeight="true" outlineLevel="0" collapsed="false">
      <c r="A9" s="14" t="str">
        <f aca="false">IFERROR(IF('Öğrenci Listesi'!A10="","",'Öğrenci Listesi'!A10),"")</f>
        <v/>
      </c>
      <c r="B9" s="15" t="str">
        <f aca="false">IFERROR(IF('Öğrenci Listesi'!B10="","",'Öğrenci Listesi'!B10),"")</f>
        <v/>
      </c>
      <c r="C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D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E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F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G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H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I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J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K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L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M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N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O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P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Q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R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S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T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U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V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W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X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Y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Z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AA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AB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AC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AD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AE9" s="16" t="str">
        <f aca="false">IF(OR('Öğrenci Listesi'!B10="",AG9=""),"",IF(AG9="Çok İyi",CHOOSE(RANDBETWEEN(1,5),4,4,4,4,3),IF(AG9="İyi",CHOOSE(RANDBETWEEN(1,5),3,3,3,4,2),IF(AG9="Yeterli",CHOOSE(RANDBETWEEN(1,5),2,2,2,3,1),IF(AG9="Geliştirilmeli",CHOOSE(RANDBETWEEN(1,5),1,1,1,1,2),"")))))</f>
        <v/>
      </c>
      <c r="AF9" s="17" t="str">
        <f aca="false">IF(OR('Öğrenci Listesi'!B10="",AG9=""),"",ROUND(AVERAGE(C9:AE9),2))</f>
        <v/>
      </c>
      <c r="AG9" s="18" t="str">
        <f aca="false"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customFormat="false" ht="9" hidden="false" customHeight="true" outlineLevel="0" collapsed="false">
      <c r="A10" s="14" t="str">
        <f aca="false">IFERROR(IF('Öğrenci Listesi'!A11="","",'Öğrenci Listesi'!A11),"")</f>
        <v/>
      </c>
      <c r="B10" s="15" t="str">
        <f aca="false">IFERROR(IF('Öğrenci Listesi'!B11="","",'Öğrenci Listesi'!B11),"")</f>
        <v/>
      </c>
      <c r="C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D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E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F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G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H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I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J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K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L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M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N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O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P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Q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R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S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T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U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V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W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X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Y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Z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AA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AB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AC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AD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AE10" s="16" t="str">
        <f aca="false">IF(OR('Öğrenci Listesi'!B11="",AG10=""),"",IF(AG10="Çok İyi",CHOOSE(RANDBETWEEN(1,5),4,4,4,4,3),IF(AG10="İyi",CHOOSE(RANDBETWEEN(1,5),3,3,3,4,2),IF(AG10="Yeterli",CHOOSE(RANDBETWEEN(1,5),2,2,2,3,1),IF(AG10="Geliştirilmeli",CHOOSE(RANDBETWEEN(1,5),1,1,1,1,2),"")))))</f>
        <v/>
      </c>
      <c r="AF10" s="17" t="str">
        <f aca="false">IF(OR('Öğrenci Listesi'!B11="",AG10=""),"",ROUND(AVERAGE(C10:AE10),2))</f>
        <v/>
      </c>
      <c r="AG10" s="18" t="str">
        <f aca="false"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customFormat="false" ht="9" hidden="false" customHeight="true" outlineLevel="0" collapsed="false">
      <c r="A11" s="14" t="str">
        <f aca="false">IFERROR(IF('Öğrenci Listesi'!A12="","",'Öğrenci Listesi'!A12),"")</f>
        <v/>
      </c>
      <c r="B11" s="15" t="str">
        <f aca="false">IFERROR(IF('Öğrenci Listesi'!B12="","",'Öğrenci Listesi'!B12),"")</f>
        <v/>
      </c>
      <c r="C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D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E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F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G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H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I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J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K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L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M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N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O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P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Q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R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S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T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U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V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W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X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Y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Z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AA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AB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AC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AD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AE11" s="16" t="str">
        <f aca="false">IF(OR('Öğrenci Listesi'!B12="",AG11=""),"",IF(AG11="Çok İyi",CHOOSE(RANDBETWEEN(1,5),4,4,4,4,3),IF(AG11="İyi",CHOOSE(RANDBETWEEN(1,5),3,3,3,4,2),IF(AG11="Yeterli",CHOOSE(RANDBETWEEN(1,5),2,2,2,3,1),IF(AG11="Geliştirilmeli",CHOOSE(RANDBETWEEN(1,5),1,1,1,1,2),"")))))</f>
        <v/>
      </c>
      <c r="AF11" s="17" t="str">
        <f aca="false">IF(OR('Öğrenci Listesi'!B12="",AG11=""),"",ROUND(AVERAGE(C11:AE11),2))</f>
        <v/>
      </c>
      <c r="AG11" s="18" t="str">
        <f aca="false"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customFormat="false" ht="9" hidden="false" customHeight="true" outlineLevel="0" collapsed="false">
      <c r="A12" s="14" t="str">
        <f aca="false">IFERROR(IF('Öğrenci Listesi'!A13="","",'Öğrenci Listesi'!A13),"")</f>
        <v/>
      </c>
      <c r="B12" s="15" t="str">
        <f aca="false">IFERROR(IF('Öğrenci Listesi'!B13="","",'Öğrenci Listesi'!B13),"")</f>
        <v/>
      </c>
      <c r="C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D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E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F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G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H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I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J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K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L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M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N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O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P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Q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R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S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T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U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V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W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X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Y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Z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AA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AB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AC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AD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AE12" s="16" t="str">
        <f aca="false">IF(OR('Öğrenci Listesi'!B13="",AG12=""),"",IF(AG12="Çok İyi",CHOOSE(RANDBETWEEN(1,5),4,4,4,4,3),IF(AG12="İyi",CHOOSE(RANDBETWEEN(1,5),3,3,3,4,2),IF(AG12="Yeterli",CHOOSE(RANDBETWEEN(1,5),2,2,2,3,1),IF(AG12="Geliştirilmeli",CHOOSE(RANDBETWEEN(1,5),1,1,1,1,2),"")))))</f>
        <v/>
      </c>
      <c r="AF12" s="17" t="str">
        <f aca="false">IF(OR('Öğrenci Listesi'!B13="",AG12=""),"",ROUND(AVERAGE(C12:AE12),2))</f>
        <v/>
      </c>
      <c r="AG12" s="18" t="str">
        <f aca="false"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customFormat="false" ht="9" hidden="false" customHeight="true" outlineLevel="0" collapsed="false">
      <c r="A13" s="14" t="str">
        <f aca="false">IFERROR(IF('Öğrenci Listesi'!A14="","",'Öğrenci Listesi'!A14),"")</f>
        <v/>
      </c>
      <c r="B13" s="15" t="str">
        <f aca="false">IFERROR(IF('Öğrenci Listesi'!B14="","",'Öğrenci Listesi'!B14),"")</f>
        <v/>
      </c>
      <c r="C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D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E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F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G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H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I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J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K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L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M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N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O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P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Q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R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S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T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U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V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W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X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Y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Z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AA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AB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AC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AD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AE13" s="16" t="str">
        <f aca="false">IF(OR('Öğrenci Listesi'!B14="",AG13=""),"",IF(AG13="Çok İyi",CHOOSE(RANDBETWEEN(1,5),4,4,4,4,3),IF(AG13="İyi",CHOOSE(RANDBETWEEN(1,5),3,3,3,4,2),IF(AG13="Yeterli",CHOOSE(RANDBETWEEN(1,5),2,2,2,3,1),IF(AG13="Geliştirilmeli",CHOOSE(RANDBETWEEN(1,5),1,1,1,1,2),"")))))</f>
        <v/>
      </c>
      <c r="AF13" s="17" t="str">
        <f aca="false">IF(OR('Öğrenci Listesi'!B14="",AG13=""),"",ROUND(AVERAGE(C13:AE13),2))</f>
        <v/>
      </c>
      <c r="AG13" s="18" t="str">
        <f aca="false"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customFormat="false" ht="9" hidden="false" customHeight="true" outlineLevel="0" collapsed="false">
      <c r="A14" s="14" t="str">
        <f aca="false">IFERROR(IF('Öğrenci Listesi'!A15="","",'Öğrenci Listesi'!A15),"")</f>
        <v/>
      </c>
      <c r="B14" s="15" t="str">
        <f aca="false">IFERROR(IF('Öğrenci Listesi'!B15="","",'Öğrenci Listesi'!B15),"")</f>
        <v/>
      </c>
      <c r="C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D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E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F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G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H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I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J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K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L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M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N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O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P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Q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R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S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T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U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V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W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X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Y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Z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AA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AB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AC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AD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AE14" s="16" t="str">
        <f aca="false">IF(OR('Öğrenci Listesi'!B15="",AG14=""),"",IF(AG14="Çok İyi",CHOOSE(RANDBETWEEN(1,5),4,4,4,4,3),IF(AG14="İyi",CHOOSE(RANDBETWEEN(1,5),3,3,3,4,2),IF(AG14="Yeterli",CHOOSE(RANDBETWEEN(1,5),2,2,2,3,1),IF(AG14="Geliştirilmeli",CHOOSE(RANDBETWEEN(1,5),1,1,1,1,2),"")))))</f>
        <v/>
      </c>
      <c r="AF14" s="17" t="str">
        <f aca="false">IF(OR('Öğrenci Listesi'!B15="",AG14=""),"",ROUND(AVERAGE(C14:AE14),2))</f>
        <v/>
      </c>
      <c r="AG14" s="18" t="str">
        <f aca="false"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customFormat="false" ht="9" hidden="false" customHeight="true" outlineLevel="0" collapsed="false">
      <c r="A15" s="14" t="str">
        <f aca="false">IFERROR(IF('Öğrenci Listesi'!A16="","",'Öğrenci Listesi'!A16),"")</f>
        <v/>
      </c>
      <c r="B15" s="15" t="str">
        <f aca="false">IFERROR(IF('Öğrenci Listesi'!B16="","",'Öğrenci Listesi'!B16),"")</f>
        <v/>
      </c>
      <c r="C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D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E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F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G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H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I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J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K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L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M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N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O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P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Q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R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S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T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U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V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W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X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Y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Z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AA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AB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AC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AD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AE15" s="16" t="str">
        <f aca="false">IF(OR('Öğrenci Listesi'!B16="",AG15=""),"",IF(AG15="Çok İyi",CHOOSE(RANDBETWEEN(1,5),4,4,4,4,3),IF(AG15="İyi",CHOOSE(RANDBETWEEN(1,5),3,3,3,4,2),IF(AG15="Yeterli",CHOOSE(RANDBETWEEN(1,5),2,2,2,3,1),IF(AG15="Geliştirilmeli",CHOOSE(RANDBETWEEN(1,5),1,1,1,1,2),"")))))</f>
        <v/>
      </c>
      <c r="AF15" s="17" t="str">
        <f aca="false">IF(OR('Öğrenci Listesi'!B16="",AG15=""),"",ROUND(AVERAGE(C15:AE15),2))</f>
        <v/>
      </c>
      <c r="AG15" s="18" t="str">
        <f aca="false"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customFormat="false" ht="9" hidden="false" customHeight="true" outlineLevel="0" collapsed="false">
      <c r="A16" s="14" t="str">
        <f aca="false">IFERROR(IF('Öğrenci Listesi'!A17="","",'Öğrenci Listesi'!A17),"")</f>
        <v/>
      </c>
      <c r="B16" s="15" t="str">
        <f aca="false">IFERROR(IF('Öğrenci Listesi'!B17="","",'Öğrenci Listesi'!B17),"")</f>
        <v/>
      </c>
      <c r="C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D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E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F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G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H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I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J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K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L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M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N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O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P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Q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R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S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T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U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V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W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X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Y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Z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AA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AB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AC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AD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AE16" s="16" t="str">
        <f aca="false">IF(OR('Öğrenci Listesi'!B17="",AG16=""),"",IF(AG16="Çok İyi",CHOOSE(RANDBETWEEN(1,5),4,4,4,4,3),IF(AG16="İyi",CHOOSE(RANDBETWEEN(1,5),3,3,3,4,2),IF(AG16="Yeterli",CHOOSE(RANDBETWEEN(1,5),2,2,2,3,1),IF(AG16="Geliştirilmeli",CHOOSE(RANDBETWEEN(1,5),1,1,1,1,2),"")))))</f>
        <v/>
      </c>
      <c r="AF16" s="17" t="str">
        <f aca="false">IF(OR('Öğrenci Listesi'!B17="",AG16=""),"",ROUND(AVERAGE(C16:AE16),2))</f>
        <v/>
      </c>
      <c r="AG16" s="18" t="str">
        <f aca="false"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customFormat="false" ht="9" hidden="false" customHeight="true" outlineLevel="0" collapsed="false">
      <c r="A17" s="14" t="str">
        <f aca="false">IFERROR(IF('Öğrenci Listesi'!A18="","",'Öğrenci Listesi'!A18),"")</f>
        <v/>
      </c>
      <c r="B17" s="15" t="str">
        <f aca="false">IFERROR(IF('Öğrenci Listesi'!B18="","",'Öğrenci Listesi'!B18),"")</f>
        <v/>
      </c>
      <c r="C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D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E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F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G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H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I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J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K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L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M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N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O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P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Q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R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S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T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U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V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W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X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Y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Z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AA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AB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AC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AD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AE17" s="16" t="str">
        <f aca="false">IF(OR('Öğrenci Listesi'!B18="",AG17=""),"",IF(AG17="Çok İyi",CHOOSE(RANDBETWEEN(1,5),4,4,4,4,3),IF(AG17="İyi",CHOOSE(RANDBETWEEN(1,5),3,3,3,4,2),IF(AG17="Yeterli",CHOOSE(RANDBETWEEN(1,5),2,2,2,3,1),IF(AG17="Geliştirilmeli",CHOOSE(RANDBETWEEN(1,5),1,1,1,1,2),"")))))</f>
        <v/>
      </c>
      <c r="AF17" s="17" t="str">
        <f aca="false">IF(OR('Öğrenci Listesi'!B18="",AG17=""),"",ROUND(AVERAGE(C17:AE17),2))</f>
        <v/>
      </c>
      <c r="AG17" s="18" t="str">
        <f aca="false"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customFormat="false" ht="9" hidden="false" customHeight="true" outlineLevel="0" collapsed="false">
      <c r="A18" s="14" t="str">
        <f aca="false">IFERROR(IF('Öğrenci Listesi'!A19="","",'Öğrenci Listesi'!A19),"")</f>
        <v/>
      </c>
      <c r="B18" s="15" t="str">
        <f aca="false">IFERROR(IF('Öğrenci Listesi'!B19="","",'Öğrenci Listesi'!B19),"")</f>
        <v/>
      </c>
      <c r="C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D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E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F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G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H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I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J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K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L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M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N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O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P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Q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R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S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T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U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V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W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X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Y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Z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AA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AB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AC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AD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AE18" s="16" t="str">
        <f aca="false">IF(OR('Öğrenci Listesi'!B19="",AG18=""),"",IF(AG18="Çok İyi",CHOOSE(RANDBETWEEN(1,5),4,4,4,4,3),IF(AG18="İyi",CHOOSE(RANDBETWEEN(1,5),3,3,3,4,2),IF(AG18="Yeterli",CHOOSE(RANDBETWEEN(1,5),2,2,2,3,1),IF(AG18="Geliştirilmeli",CHOOSE(RANDBETWEEN(1,5),1,1,1,1,2),"")))))</f>
        <v/>
      </c>
      <c r="AF18" s="17" t="str">
        <f aca="false">IF(OR('Öğrenci Listesi'!B19="",AG18=""),"",ROUND(AVERAGE(C18:AE18),2))</f>
        <v/>
      </c>
      <c r="AG18" s="18" t="str">
        <f aca="false"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customFormat="false" ht="9" hidden="false" customHeight="true" outlineLevel="0" collapsed="false">
      <c r="A19" s="14" t="str">
        <f aca="false">IFERROR(IF('Öğrenci Listesi'!A20="","",'Öğrenci Listesi'!A20),"")</f>
        <v/>
      </c>
      <c r="B19" s="15" t="str">
        <f aca="false">IFERROR(IF('Öğrenci Listesi'!B20="","",'Öğrenci Listesi'!B20),"")</f>
        <v/>
      </c>
      <c r="C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D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E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F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G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H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I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J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K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L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M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N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O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P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Q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R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S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T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U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V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W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X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Y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Z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AA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AB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AC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AD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AE19" s="16" t="str">
        <f aca="false">IF(OR('Öğrenci Listesi'!B20="",AG19=""),"",IF(AG19="Çok İyi",CHOOSE(RANDBETWEEN(1,5),4,4,4,4,3),IF(AG19="İyi",CHOOSE(RANDBETWEEN(1,5),3,3,3,4,2),IF(AG19="Yeterli",CHOOSE(RANDBETWEEN(1,5),2,2,2,3,1),IF(AG19="Geliştirilmeli",CHOOSE(RANDBETWEEN(1,5),1,1,1,1,2),"")))))</f>
        <v/>
      </c>
      <c r="AF19" s="17" t="str">
        <f aca="false">IF(OR('Öğrenci Listesi'!B20="",AG19=""),"",ROUND(AVERAGE(C19:AE19),2))</f>
        <v/>
      </c>
      <c r="AG19" s="18" t="str">
        <f aca="false"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customFormat="false" ht="9" hidden="false" customHeight="true" outlineLevel="0" collapsed="false">
      <c r="A20" s="14" t="str">
        <f aca="false">IFERROR(IF('Öğrenci Listesi'!A21="","",'Öğrenci Listesi'!A21),"")</f>
        <v/>
      </c>
      <c r="B20" s="15" t="str">
        <f aca="false">IFERROR(IF('Öğrenci Listesi'!B21="","",'Öğrenci Listesi'!B21),"")</f>
        <v/>
      </c>
      <c r="C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D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E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F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G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H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I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J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K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L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M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N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O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P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Q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R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S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T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U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V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W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X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Y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Z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AA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AB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AC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AD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AE20" s="16" t="str">
        <f aca="false">IF(OR('Öğrenci Listesi'!B21="",AG20=""),"",IF(AG20="Çok İyi",CHOOSE(RANDBETWEEN(1,5),4,4,4,4,3),IF(AG20="İyi",CHOOSE(RANDBETWEEN(1,5),3,3,3,4,2),IF(AG20="Yeterli",CHOOSE(RANDBETWEEN(1,5),2,2,2,3,1),IF(AG20="Geliştirilmeli",CHOOSE(RANDBETWEEN(1,5),1,1,1,1,2),"")))))</f>
        <v/>
      </c>
      <c r="AF20" s="17" t="str">
        <f aca="false">IF(OR('Öğrenci Listesi'!B21="",AG20=""),"",ROUND(AVERAGE(C20:AE20),2))</f>
        <v/>
      </c>
      <c r="AG20" s="18" t="str">
        <f aca="false"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customFormat="false" ht="9" hidden="false" customHeight="true" outlineLevel="0" collapsed="false">
      <c r="A21" s="14" t="str">
        <f aca="false">IFERROR(IF('Öğrenci Listesi'!A22="","",'Öğrenci Listesi'!A22),"")</f>
        <v/>
      </c>
      <c r="B21" s="15" t="str">
        <f aca="false">IFERROR(IF('Öğrenci Listesi'!B22="","",'Öğrenci Listesi'!B22),"")</f>
        <v/>
      </c>
      <c r="C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D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E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F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G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H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I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J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K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L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M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N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O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P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Q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R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S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T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U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V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W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X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Y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Z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AA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AB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AC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AD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AE21" s="16" t="str">
        <f aca="false">IF(OR('Öğrenci Listesi'!B22="",AG21=""),"",IF(AG21="Çok İyi",CHOOSE(RANDBETWEEN(1,5),4,4,4,4,3),IF(AG21="İyi",CHOOSE(RANDBETWEEN(1,5),3,3,3,4,2),IF(AG21="Yeterli",CHOOSE(RANDBETWEEN(1,5),2,2,2,3,1),IF(AG21="Geliştirilmeli",CHOOSE(RANDBETWEEN(1,5),1,1,1,1,2),"")))))</f>
        <v/>
      </c>
      <c r="AF21" s="17" t="str">
        <f aca="false">IF(OR('Öğrenci Listesi'!B22="",AG21=""),"",ROUND(AVERAGE(C21:AE21),2))</f>
        <v/>
      </c>
      <c r="AG21" s="18" t="str">
        <f aca="false"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customFormat="false" ht="9" hidden="false" customHeight="true" outlineLevel="0" collapsed="false">
      <c r="A22" s="14" t="str">
        <f aca="false">IFERROR(IF('Öğrenci Listesi'!A23="","",'Öğrenci Listesi'!A23),"")</f>
        <v/>
      </c>
      <c r="B22" s="15" t="str">
        <f aca="false">IFERROR(IF('Öğrenci Listesi'!B23="","",'Öğrenci Listesi'!B23),"")</f>
        <v/>
      </c>
      <c r="C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D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E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F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G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H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I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J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K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L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M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N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O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P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Q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R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S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T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U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V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W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X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Y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Z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AA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AB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AC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AD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AE22" s="16" t="str">
        <f aca="false">IF(OR('Öğrenci Listesi'!B23="",AG22=""),"",IF(AG22="Çok İyi",CHOOSE(RANDBETWEEN(1,5),4,4,4,4,3),IF(AG22="İyi",CHOOSE(RANDBETWEEN(1,5),3,3,3,4,2),IF(AG22="Yeterli",CHOOSE(RANDBETWEEN(1,5),2,2,2,3,1),IF(AG22="Geliştirilmeli",CHOOSE(RANDBETWEEN(1,5),1,1,1,1,2),"")))))</f>
        <v/>
      </c>
      <c r="AF22" s="17" t="str">
        <f aca="false">IF(OR('Öğrenci Listesi'!B23="",AG22=""),"",ROUND(AVERAGE(C22:AE22),2))</f>
        <v/>
      </c>
      <c r="AG22" s="18" t="str">
        <f aca="false"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customFormat="false" ht="9" hidden="false" customHeight="true" outlineLevel="0" collapsed="false">
      <c r="A23" s="14" t="str">
        <f aca="false">IFERROR(IF('Öğrenci Listesi'!A24="","",'Öğrenci Listesi'!A24),"")</f>
        <v/>
      </c>
      <c r="B23" s="15" t="str">
        <f aca="false">IFERROR(IF('Öğrenci Listesi'!B24="","",'Öğrenci Listesi'!B24),"")</f>
        <v/>
      </c>
      <c r="C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D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E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F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G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H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I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J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K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L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M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N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O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P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Q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R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S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T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U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V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W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X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Y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Z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AA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AB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AC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AD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AE23" s="16" t="str">
        <f aca="false">IF(OR('Öğrenci Listesi'!B24="",AG23=""),"",IF(AG23="Çok İyi",CHOOSE(RANDBETWEEN(1,5),4,4,4,4,3),IF(AG23="İyi",CHOOSE(RANDBETWEEN(1,5),3,3,3,4,2),IF(AG23="Yeterli",CHOOSE(RANDBETWEEN(1,5),2,2,2,3,1),IF(AG23="Geliştirilmeli",CHOOSE(RANDBETWEEN(1,5),1,1,1,1,2),"")))))</f>
        <v/>
      </c>
      <c r="AF23" s="17" t="str">
        <f aca="false">IF(OR('Öğrenci Listesi'!B24="",AG23=""),"",ROUND(AVERAGE(C23:AE23),2))</f>
        <v/>
      </c>
      <c r="AG23" s="18" t="str">
        <f aca="false"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customFormat="false" ht="9" hidden="false" customHeight="true" outlineLevel="0" collapsed="false">
      <c r="A24" s="14" t="str">
        <f aca="false">IFERROR(IF('Öğrenci Listesi'!A25="","",'Öğrenci Listesi'!A25),"")</f>
        <v/>
      </c>
      <c r="B24" s="15" t="str">
        <f aca="false">IFERROR(IF('Öğrenci Listesi'!B25="","",'Öğrenci Listesi'!B25),"")</f>
        <v/>
      </c>
      <c r="C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D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E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F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G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H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I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J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K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L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M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N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O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P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Q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R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S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T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U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V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W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X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Y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Z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AA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AB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AC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AD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AE24" s="16" t="str">
        <f aca="false">IF(OR('Öğrenci Listesi'!B25="",AG24=""),"",IF(AG24="Çok İyi",CHOOSE(RANDBETWEEN(1,5),4,4,4,4,3),IF(AG24="İyi",CHOOSE(RANDBETWEEN(1,5),3,3,3,4,2),IF(AG24="Yeterli",CHOOSE(RANDBETWEEN(1,5),2,2,2,3,1),IF(AG24="Geliştirilmeli",CHOOSE(RANDBETWEEN(1,5),1,1,1,1,2),"")))))</f>
        <v/>
      </c>
      <c r="AF24" s="17" t="str">
        <f aca="false">IF(OR('Öğrenci Listesi'!B25="",AG24=""),"",ROUND(AVERAGE(C24:AE24),2))</f>
        <v/>
      </c>
      <c r="AG24" s="18" t="str">
        <f aca="false"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customFormat="false" ht="9" hidden="false" customHeight="true" outlineLevel="0" collapsed="false">
      <c r="A25" s="14" t="str">
        <f aca="false">IFERROR(IF('Öğrenci Listesi'!A26="","",'Öğrenci Listesi'!A26),"")</f>
        <v/>
      </c>
      <c r="B25" s="15" t="str">
        <f aca="false">IFERROR(IF('Öğrenci Listesi'!B26="","",'Öğrenci Listesi'!B26),"")</f>
        <v/>
      </c>
      <c r="C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D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E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F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G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H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I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J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K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L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M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N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O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P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Q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R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S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T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U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V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W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X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Y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Z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AA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AB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AC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AD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AE25" s="16" t="str">
        <f aca="false">IF(OR('Öğrenci Listesi'!B26="",AG25=""),"",IF(AG25="Çok İyi",CHOOSE(RANDBETWEEN(1,5),4,4,4,4,3),IF(AG25="İyi",CHOOSE(RANDBETWEEN(1,5),3,3,3,4,2),IF(AG25="Yeterli",CHOOSE(RANDBETWEEN(1,5),2,2,2,3,1),IF(AG25="Geliştirilmeli",CHOOSE(RANDBETWEEN(1,5),1,1,1,1,2),"")))))</f>
        <v/>
      </c>
      <c r="AF25" s="17" t="str">
        <f aca="false">IF(OR('Öğrenci Listesi'!B26="",AG25=""),"",ROUND(AVERAGE(C25:AE25),2))</f>
        <v/>
      </c>
      <c r="AG25" s="18" t="str">
        <f aca="false"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customFormat="false" ht="9" hidden="false" customHeight="true" outlineLevel="0" collapsed="false">
      <c r="A26" s="14" t="str">
        <f aca="false">IFERROR(IF('Öğrenci Listesi'!A27="","",'Öğrenci Listesi'!A27),"")</f>
        <v/>
      </c>
      <c r="B26" s="15" t="str">
        <f aca="false">IFERROR(IF('Öğrenci Listesi'!B27="","",'Öğrenci Listesi'!B27),"")</f>
        <v/>
      </c>
      <c r="C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D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E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F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G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H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I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J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K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L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M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N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O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P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Q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R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S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T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U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V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W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X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Y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Z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AA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AB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AC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AD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AE26" s="16" t="str">
        <f aca="false">IF(OR('Öğrenci Listesi'!B27="",AG26=""),"",IF(AG26="Çok İyi",CHOOSE(RANDBETWEEN(1,5),4,4,4,4,3),IF(AG26="İyi",CHOOSE(RANDBETWEEN(1,5),3,3,3,4,2),IF(AG26="Yeterli",CHOOSE(RANDBETWEEN(1,5),2,2,2,3,1),IF(AG26="Geliştirilmeli",CHOOSE(RANDBETWEEN(1,5),1,1,1,1,2),"")))))</f>
        <v/>
      </c>
      <c r="AF26" s="17" t="str">
        <f aca="false">IF(OR('Öğrenci Listesi'!B27="",AG26=""),"",ROUND(AVERAGE(C26:AE26),2))</f>
        <v/>
      </c>
      <c r="AG26" s="18" t="str">
        <f aca="false"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customFormat="false" ht="9" hidden="false" customHeight="true" outlineLevel="0" collapsed="false">
      <c r="A27" s="14" t="str">
        <f aca="false">IFERROR(IF('Öğrenci Listesi'!A28="","",'Öğrenci Listesi'!A28),"")</f>
        <v/>
      </c>
      <c r="B27" s="15" t="str">
        <f aca="false">IFERROR(IF('Öğrenci Listesi'!B28="","",'Öğrenci Listesi'!B28),"")</f>
        <v/>
      </c>
      <c r="C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D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E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F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G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H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I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J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K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L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M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N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O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P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Q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R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S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T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U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V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W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X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Y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Z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AA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AB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AC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AD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AE27" s="16" t="str">
        <f aca="false">IF(OR('Öğrenci Listesi'!B28="",AG27=""),"",IF(AG27="Çok İyi",CHOOSE(RANDBETWEEN(1,5),4,4,4,4,3),IF(AG27="İyi",CHOOSE(RANDBETWEEN(1,5),3,3,3,4,2),IF(AG27="Yeterli",CHOOSE(RANDBETWEEN(1,5),2,2,2,3,1),IF(AG27="Geliştirilmeli",CHOOSE(RANDBETWEEN(1,5),1,1,1,1,2),"")))))</f>
        <v/>
      </c>
      <c r="AF27" s="17" t="str">
        <f aca="false">IF(OR('Öğrenci Listesi'!B28="",AG27=""),"",ROUND(AVERAGE(C27:AE27),2))</f>
        <v/>
      </c>
      <c r="AG27" s="18" t="str">
        <f aca="false"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customFormat="false" ht="9" hidden="false" customHeight="true" outlineLevel="0" collapsed="false">
      <c r="A28" s="14" t="str">
        <f aca="false">IFERROR(IF('Öğrenci Listesi'!A29="","",'Öğrenci Listesi'!A29),"")</f>
        <v/>
      </c>
      <c r="B28" s="15" t="str">
        <f aca="false">IFERROR(IF('Öğrenci Listesi'!B29="","",'Öğrenci Listesi'!B29),"")</f>
        <v/>
      </c>
      <c r="C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D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E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F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G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H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I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J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K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L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M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N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O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P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Q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R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S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T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U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V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W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X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Y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Z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AA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AB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AC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AD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AE28" s="16" t="str">
        <f aca="false">IF(OR('Öğrenci Listesi'!B29="",AG28=""),"",IF(AG28="Çok İyi",CHOOSE(RANDBETWEEN(1,5),4,4,4,4,3),IF(AG28="İyi",CHOOSE(RANDBETWEEN(1,5),3,3,3,4,2),IF(AG28="Yeterli",CHOOSE(RANDBETWEEN(1,5),2,2,2,3,1),IF(AG28="Geliştirilmeli",CHOOSE(RANDBETWEEN(1,5),1,1,1,1,2),"")))))</f>
        <v/>
      </c>
      <c r="AF28" s="17" t="str">
        <f aca="false">IF(OR('Öğrenci Listesi'!B29="",AG28=""),"",ROUND(AVERAGE(C28:AE28),2))</f>
        <v/>
      </c>
      <c r="AG28" s="18" t="str">
        <f aca="false"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customFormat="false" ht="9" hidden="false" customHeight="true" outlineLevel="0" collapsed="false">
      <c r="A29" s="14" t="str">
        <f aca="false">IFERROR(IF('Öğrenci Listesi'!A30="","",'Öğrenci Listesi'!A30),"")</f>
        <v/>
      </c>
      <c r="B29" s="15" t="str">
        <f aca="false">IFERROR(IF('Öğrenci Listesi'!B30="","",'Öğrenci Listesi'!B30),"")</f>
        <v/>
      </c>
      <c r="C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D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E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F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G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H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I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J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K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L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M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N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O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P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Q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R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S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T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U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V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W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X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Y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Z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AA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AB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AC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AD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AE29" s="16" t="str">
        <f aca="false">IF(OR('Öğrenci Listesi'!B30="",AG29=""),"",IF(AG29="Çok İyi",CHOOSE(RANDBETWEEN(1,5),4,4,4,4,3),IF(AG29="İyi",CHOOSE(RANDBETWEEN(1,5),3,3,3,4,2),IF(AG29="Yeterli",CHOOSE(RANDBETWEEN(1,5),2,2,2,3,1),IF(AG29="Geliştirilmeli",CHOOSE(RANDBETWEEN(1,5),1,1,1,1,2),"")))))</f>
        <v/>
      </c>
      <c r="AF29" s="17" t="str">
        <f aca="false">IF(OR('Öğrenci Listesi'!B30="",AG29=""),"",ROUND(AVERAGE(C29:AE29),2))</f>
        <v/>
      </c>
      <c r="AG29" s="18" t="str">
        <f aca="false"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customFormat="false" ht="9" hidden="false" customHeight="true" outlineLevel="0" collapsed="false">
      <c r="A30" s="14" t="str">
        <f aca="false">IFERROR(IF('Öğrenci Listesi'!A31="","",'Öğrenci Listesi'!A31),"")</f>
        <v/>
      </c>
      <c r="B30" s="15" t="str">
        <f aca="false">IFERROR(IF('Öğrenci Listesi'!B31="","",'Öğrenci Listesi'!B31),"")</f>
        <v/>
      </c>
      <c r="C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D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E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F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G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H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I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J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K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L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M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N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O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P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Q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R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S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T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U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V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W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X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Y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Z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AA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AB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AC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AD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AE30" s="16" t="str">
        <f aca="false">IF(OR('Öğrenci Listesi'!B31="",AG30=""),"",IF(AG30="Çok İyi",CHOOSE(RANDBETWEEN(1,5),4,4,4,4,3),IF(AG30="İyi",CHOOSE(RANDBETWEEN(1,5),3,3,3,4,2),IF(AG30="Yeterli",CHOOSE(RANDBETWEEN(1,5),2,2,2,3,1),IF(AG30="Geliştirilmeli",CHOOSE(RANDBETWEEN(1,5),1,1,1,1,2),"")))))</f>
        <v/>
      </c>
      <c r="AF30" s="17" t="str">
        <f aca="false">IF(OR('Öğrenci Listesi'!B31="",AG30=""),"",ROUND(AVERAGE(C30:AE30),2))</f>
        <v/>
      </c>
      <c r="AG30" s="18" t="str">
        <f aca="false"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customFormat="false" ht="9" hidden="false" customHeight="true" outlineLevel="0" collapsed="false">
      <c r="A31" s="14" t="str">
        <f aca="false">IFERROR(IF('Öğrenci Listesi'!A32="","",'Öğrenci Listesi'!A32),"")</f>
        <v/>
      </c>
      <c r="B31" s="15" t="str">
        <f aca="false">IFERROR(IF('Öğrenci Listesi'!B32="","",'Öğrenci Listesi'!B32),"")</f>
        <v/>
      </c>
      <c r="C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D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E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F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G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H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I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J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K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L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M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N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O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P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Q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R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S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T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U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V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W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X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Y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Z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AA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AB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AC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AD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AE31" s="16" t="str">
        <f aca="false">IF(OR('Öğrenci Listesi'!B32="",AG31=""),"",IF(AG31="Çok İyi",CHOOSE(RANDBETWEEN(1,5),4,4,4,4,3),IF(AG31="İyi",CHOOSE(RANDBETWEEN(1,5),3,3,3,4,2),IF(AG31="Yeterli",CHOOSE(RANDBETWEEN(1,5),2,2,2,3,1),IF(AG31="Geliştirilmeli",CHOOSE(RANDBETWEEN(1,5),1,1,1,1,2),"")))))</f>
        <v/>
      </c>
      <c r="AF31" s="17" t="str">
        <f aca="false">IF(OR('Öğrenci Listesi'!B32="",AG31=""),"",ROUND(AVERAGE(C31:AE31),2))</f>
        <v/>
      </c>
      <c r="AG31" s="18" t="str">
        <f aca="false"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customFormat="false" ht="9" hidden="false" customHeight="true" outlineLevel="0" collapsed="false">
      <c r="A32" s="14" t="str">
        <f aca="false">IFERROR(IF('Öğrenci Listesi'!A33="","",'Öğrenci Listesi'!A33),"")</f>
        <v/>
      </c>
      <c r="B32" s="15" t="str">
        <f aca="false">IFERROR(IF('Öğrenci Listesi'!B33="","",'Öğrenci Listesi'!B33),"")</f>
        <v/>
      </c>
      <c r="C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D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E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F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G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H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I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J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K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L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M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N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O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P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Q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R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S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T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U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V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W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X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Y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Z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AA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AB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AC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AD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AE32" s="16" t="str">
        <f aca="false">IF(OR('Öğrenci Listesi'!B33="",AG32=""),"",IF(AG32="Çok İyi",CHOOSE(RANDBETWEEN(1,5),4,4,4,4,3),IF(AG32="İyi",CHOOSE(RANDBETWEEN(1,5),3,3,3,4,2),IF(AG32="Yeterli",CHOOSE(RANDBETWEEN(1,5),2,2,2,3,1),IF(AG32="Geliştirilmeli",CHOOSE(RANDBETWEEN(1,5),1,1,1,1,2),"")))))</f>
        <v/>
      </c>
      <c r="AF32" s="17" t="str">
        <f aca="false">IF(OR('Öğrenci Listesi'!B33="",AG32=""),"",ROUND(AVERAGE(C32:AE32),2))</f>
        <v/>
      </c>
      <c r="AG32" s="18" t="str">
        <f aca="false"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customFormat="false" ht="9" hidden="false" customHeight="true" outlineLevel="0" collapsed="false">
      <c r="A33" s="14" t="str">
        <f aca="false">IFERROR(IF('Öğrenci Listesi'!A34="","",'Öğrenci Listesi'!A34),"")</f>
        <v/>
      </c>
      <c r="B33" s="15" t="str">
        <f aca="false">IFERROR(IF('Öğrenci Listesi'!B34="","",'Öğrenci Listesi'!B34),"")</f>
        <v/>
      </c>
      <c r="C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D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E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F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G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H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I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J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K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L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M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N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O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P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Q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R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S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T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U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V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W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X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Y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Z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AA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AB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AC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AD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AE33" s="16" t="str">
        <f aca="false">IF(OR('Öğrenci Listesi'!B34="",AG33=""),"",IF(AG33="Çok İyi",CHOOSE(RANDBETWEEN(1,5),4,4,4,4,3),IF(AG33="İyi",CHOOSE(RANDBETWEEN(1,5),3,3,3,4,2),IF(AG33="Yeterli",CHOOSE(RANDBETWEEN(1,5),2,2,2,3,1),IF(AG33="Geliştirilmeli",CHOOSE(RANDBETWEEN(1,5),1,1,1,1,2),"")))))</f>
        <v/>
      </c>
      <c r="AF33" s="17" t="str">
        <f aca="false">IF(OR('Öğrenci Listesi'!B34="",AG33=""),"",ROUND(AVERAGE(C33:AE33),2))</f>
        <v/>
      </c>
      <c r="AG33" s="18" t="str">
        <f aca="false"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customFormat="false" ht="9" hidden="false" customHeight="true" outlineLevel="0" collapsed="false">
      <c r="A34" s="14" t="str">
        <f aca="false">IFERROR(IF('Öğrenci Listesi'!A35="","",'Öğrenci Listesi'!A35),"")</f>
        <v/>
      </c>
      <c r="B34" s="15" t="str">
        <f aca="false">IFERROR(IF('Öğrenci Listesi'!B35="","",'Öğrenci Listesi'!B35),"")</f>
        <v/>
      </c>
      <c r="C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D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E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F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G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H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I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J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K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L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M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N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O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P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Q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R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S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T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U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V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W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X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Y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Z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AA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AB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AC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AD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AE34" s="16" t="str">
        <f aca="false">IF(OR('Öğrenci Listesi'!B35="",AG34=""),"",IF(AG34="Çok İyi",CHOOSE(RANDBETWEEN(1,5),4,4,4,4,3),IF(AG34="İyi",CHOOSE(RANDBETWEEN(1,5),3,3,3,4,2),IF(AG34="Yeterli",CHOOSE(RANDBETWEEN(1,5),2,2,2,3,1),IF(AG34="Geliştirilmeli",CHOOSE(RANDBETWEEN(1,5),1,1,1,1,2),"")))))</f>
        <v/>
      </c>
      <c r="AF34" s="17" t="str">
        <f aca="false">IF(OR('Öğrenci Listesi'!B35="",AG34=""),"",ROUND(AVERAGE(C34:AE34),2))</f>
        <v/>
      </c>
      <c r="AG34" s="18" t="str">
        <f aca="false"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customFormat="false" ht="9" hidden="false" customHeight="true" outlineLevel="0" collapsed="false">
      <c r="A35" s="14" t="str">
        <f aca="false">IFERROR(IF('Öğrenci Listesi'!A36="","",'Öğrenci Listesi'!A36),"")</f>
        <v/>
      </c>
      <c r="B35" s="15" t="str">
        <f aca="false">IFERROR(IF('Öğrenci Listesi'!B36="","",'Öğrenci Listesi'!B36),"")</f>
        <v/>
      </c>
      <c r="C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D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E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F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G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H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I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J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K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L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M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N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O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P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Q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R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S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T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U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V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W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X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Y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Z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AA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AB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AC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AD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AE35" s="16" t="str">
        <f aca="false">IF(OR('Öğrenci Listesi'!B36="",AG35=""),"",IF(AG35="Çok İyi",CHOOSE(RANDBETWEEN(1,5),4,4,4,4,3),IF(AG35="İyi",CHOOSE(RANDBETWEEN(1,5),3,3,3,4,2),IF(AG35="Yeterli",CHOOSE(RANDBETWEEN(1,5),2,2,2,3,1),IF(AG35="Geliştirilmeli",CHOOSE(RANDBETWEEN(1,5),1,1,1,1,2),"")))))</f>
        <v/>
      </c>
      <c r="AF35" s="17" t="str">
        <f aca="false">IF(OR('Öğrenci Listesi'!B36="",AG35=""),"",ROUND(AVERAGE(C35:AE35),2))</f>
        <v/>
      </c>
      <c r="AG35" s="18" t="str">
        <f aca="false"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customFormat="false" ht="9" hidden="false" customHeight="true" outlineLevel="0" collapsed="false">
      <c r="A36" s="14" t="str">
        <f aca="false">IFERROR(IF('Öğrenci Listesi'!A37="","",'Öğrenci Listesi'!A37),"")</f>
        <v/>
      </c>
      <c r="B36" s="15" t="str">
        <f aca="false">IFERROR(IF('Öğrenci Listesi'!B37="","",'Öğrenci Listesi'!B37),"")</f>
        <v/>
      </c>
      <c r="C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D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E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F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G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H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I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J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K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L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M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N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O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P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Q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R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S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T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U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V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W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X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Y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Z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AA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AB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AC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AD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AE36" s="16" t="str">
        <f aca="false">IF(OR('Öğrenci Listesi'!B37="",AG36=""),"",IF(AG36="Çok İyi",CHOOSE(RANDBETWEEN(1,5),4,4,4,4,3),IF(AG36="İyi",CHOOSE(RANDBETWEEN(1,5),3,3,3,4,2),IF(AG36="Yeterli",CHOOSE(RANDBETWEEN(1,5),2,2,2,3,1),IF(AG36="Geliştirilmeli",CHOOSE(RANDBETWEEN(1,5),1,1,1,1,2),"")))))</f>
        <v/>
      </c>
      <c r="AF36" s="17" t="str">
        <f aca="false">IF(OR('Öğrenci Listesi'!B37="",AG36=""),"",ROUND(AVERAGE(C36:AE36),2))</f>
        <v/>
      </c>
      <c r="AG36" s="18" t="str">
        <f aca="false"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customFormat="false" ht="9" hidden="false" customHeight="true" outlineLevel="0" collapsed="false">
      <c r="A37" s="14" t="str">
        <f aca="false">IFERROR(IF('Öğrenci Listesi'!A38="","",'Öğrenci Listesi'!A38),"")</f>
        <v/>
      </c>
      <c r="B37" s="15" t="str">
        <f aca="false">IFERROR(IF('Öğrenci Listesi'!B38="","",'Öğrenci Listesi'!B38),"")</f>
        <v/>
      </c>
      <c r="C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D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E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F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G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H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I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J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K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L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M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N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O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P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Q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R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S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T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U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V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W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X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Y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Z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AA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AB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AC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AD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AE37" s="16" t="str">
        <f aca="false">IF(OR('Öğrenci Listesi'!B38="",AG37=""),"",IF(AG37="Çok İyi",CHOOSE(RANDBETWEEN(1,5),4,4,4,4,3),IF(AG37="İyi",CHOOSE(RANDBETWEEN(1,5),3,3,3,4,2),IF(AG37="Yeterli",CHOOSE(RANDBETWEEN(1,5),2,2,2,3,1),IF(AG37="Geliştirilmeli",CHOOSE(RANDBETWEEN(1,5),1,1,1,1,2),"")))))</f>
        <v/>
      </c>
      <c r="AF37" s="17" t="str">
        <f aca="false">IF(OR('Öğrenci Listesi'!B38="",AG37=""),"",ROUND(AVERAGE(C37:AE37),2))</f>
        <v/>
      </c>
      <c r="AG37" s="18" t="str">
        <f aca="false"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customFormat="false" ht="9" hidden="false" customHeight="true" outlineLevel="0" collapsed="false">
      <c r="A38" s="14" t="str">
        <f aca="false">IFERROR(IF('Öğrenci Listesi'!A39="","",'Öğrenci Listesi'!A39),"")</f>
        <v/>
      </c>
      <c r="B38" s="15" t="str">
        <f aca="false">IFERROR(IF('Öğrenci Listesi'!B39="","",'Öğrenci Listesi'!B39),"")</f>
        <v/>
      </c>
      <c r="C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D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E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F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G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H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I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J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K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L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M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N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O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P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Q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R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S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T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U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V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W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X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Y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Z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AA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AB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AC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AD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AE38" s="16" t="str">
        <f aca="false">IF(OR('Öğrenci Listesi'!B39="",AG38=""),"",IF(AG38="Çok İyi",CHOOSE(RANDBETWEEN(1,5),4,4,4,4,3),IF(AG38="İyi",CHOOSE(RANDBETWEEN(1,5),3,3,3,4,2),IF(AG38="Yeterli",CHOOSE(RANDBETWEEN(1,5),2,2,2,3,1),IF(AG38="Geliştirilmeli",CHOOSE(RANDBETWEEN(1,5),1,1,1,1,2),"")))))</f>
        <v/>
      </c>
      <c r="AF38" s="17" t="str">
        <f aca="false">IF(OR('Öğrenci Listesi'!B39="",AG38=""),"",ROUND(AVERAGE(C38:AE38),2))</f>
        <v/>
      </c>
      <c r="AG38" s="18" t="str">
        <f aca="false"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customFormat="false" ht="9" hidden="false" customHeight="true" outlineLevel="0" collapsed="false">
      <c r="A39" s="14" t="str">
        <f aca="false">IFERROR(IF('Öğrenci Listesi'!A40="","",'Öğrenci Listesi'!A40),"")</f>
        <v/>
      </c>
      <c r="B39" s="15" t="str">
        <f aca="false">IFERROR(IF('Öğrenci Listesi'!B40="","",'Öğrenci Listesi'!B40),"")</f>
        <v/>
      </c>
      <c r="C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D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E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F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G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H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I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J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K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L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M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N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O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P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Q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R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S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T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U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V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W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X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Y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Z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AA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AB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AC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AD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AE39" s="16" t="str">
        <f aca="false">IF(OR('Öğrenci Listesi'!B40="",AG39=""),"",IF(AG39="Çok İyi",CHOOSE(RANDBETWEEN(1,5),4,4,4,4,3),IF(AG39="İyi",CHOOSE(RANDBETWEEN(1,5),3,3,3,4,2),IF(AG39="Yeterli",CHOOSE(RANDBETWEEN(1,5),2,2,2,3,1),IF(AG39="Geliştirilmeli",CHOOSE(RANDBETWEEN(1,5),1,1,1,1,2),"")))))</f>
        <v/>
      </c>
      <c r="AF39" s="17" t="str">
        <f aca="false">IF(OR('Öğrenci Listesi'!B40="",AG39=""),"",ROUND(AVERAGE(C39:AE39),2))</f>
        <v/>
      </c>
      <c r="AG39" s="18" t="str">
        <f aca="false"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customFormat="false" ht="9" hidden="false" customHeight="true" outlineLevel="0" collapsed="false">
      <c r="A40" s="14" t="str">
        <f aca="false">IFERROR(IF('Öğrenci Listesi'!A41="","",'Öğrenci Listesi'!A41),"")</f>
        <v/>
      </c>
      <c r="B40" s="15" t="str">
        <f aca="false">IFERROR(IF('Öğrenci Listesi'!B41="","",'Öğrenci Listesi'!B41),"")</f>
        <v/>
      </c>
      <c r="C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D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E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F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G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H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I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J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K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L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M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N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O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P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Q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R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S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T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U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V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W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X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Y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Z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AA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AB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AC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AD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AE40" s="16" t="str">
        <f aca="false">IF(OR('Öğrenci Listesi'!B41="",AG40=""),"",IF(AG40="Çok İyi",CHOOSE(RANDBETWEEN(1,5),4,4,4,4,3),IF(AG40="İyi",CHOOSE(RANDBETWEEN(1,5),3,3,3,4,2),IF(AG40="Yeterli",CHOOSE(RANDBETWEEN(1,5),2,2,2,3,1),IF(AG40="Geliştirilmeli",CHOOSE(RANDBETWEEN(1,5),1,1,1,1,2),"")))))</f>
        <v/>
      </c>
      <c r="AF40" s="17" t="str">
        <f aca="false">IF(OR('Öğrenci Listesi'!B41="",AG40=""),"",ROUND(AVERAGE(C40:AE40),2))</f>
        <v/>
      </c>
      <c r="AG40" s="18" t="str">
        <f aca="false"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customFormat="false" ht="9" hidden="false" customHeight="true" outlineLevel="0" collapsed="false">
      <c r="A41" s="14" t="str">
        <f aca="false">IFERROR(IF('Öğrenci Listesi'!A42="","",'Öğrenci Listesi'!A42),"")</f>
        <v/>
      </c>
      <c r="B41" s="15" t="str">
        <f aca="false">IFERROR(IF('Öğrenci Listesi'!B42="","",'Öğrenci Listesi'!B42),"")</f>
        <v/>
      </c>
      <c r="C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D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E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F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G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H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I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J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K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L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M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N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O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P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Q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R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S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T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U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V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W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X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Y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Z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AA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AB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AC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AD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AE41" s="16" t="str">
        <f aca="false">IF(OR('Öğrenci Listesi'!B42="",AG41=""),"",IF(AG41="Çok İyi",CHOOSE(RANDBETWEEN(1,5),4,4,4,4,3),IF(AG41="İyi",CHOOSE(RANDBETWEEN(1,5),3,3,3,4,2),IF(AG41="Yeterli",CHOOSE(RANDBETWEEN(1,5),2,2,2,3,1),IF(AG41="Geliştirilmeli",CHOOSE(RANDBETWEEN(1,5),1,1,1,1,2),"")))))</f>
        <v/>
      </c>
      <c r="AF41" s="17" t="str">
        <f aca="false">IF(OR('Öğrenci Listesi'!B42="",AG41=""),"",ROUND(AVERAGE(C41:AE41),2))</f>
        <v/>
      </c>
      <c r="AG41" s="18" t="str">
        <f aca="false"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customFormat="false" ht="9" hidden="false" customHeight="true" outlineLevel="0" collapsed="false">
      <c r="A42" s="14" t="str">
        <f aca="false">IFERROR(IF('Öğrenci Listesi'!A43="","",'Öğrenci Listesi'!A43),"")</f>
        <v/>
      </c>
      <c r="B42" s="15" t="str">
        <f aca="false">IFERROR(IF('Öğrenci Listesi'!B43="","",'Öğrenci Listesi'!B43),"")</f>
        <v/>
      </c>
      <c r="C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D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E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F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G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H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I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J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K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L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M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N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O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P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Q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R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S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T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U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V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W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X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Y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Z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AA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AB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AC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AD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AE42" s="16" t="str">
        <f aca="false">IF(OR('Öğrenci Listesi'!B43="",AG42=""),"",IF(AG42="Çok İyi",CHOOSE(RANDBETWEEN(1,5),4,4,4,4,3),IF(AG42="İyi",CHOOSE(RANDBETWEEN(1,5),3,3,3,4,2),IF(AG42="Yeterli",CHOOSE(RANDBETWEEN(1,5),2,2,2,3,1),IF(AG42="Geliştirilmeli",CHOOSE(RANDBETWEEN(1,5),1,1,1,1,2),"")))))</f>
        <v/>
      </c>
      <c r="AF42" s="17" t="str">
        <f aca="false">IF(OR('Öğrenci Listesi'!B43="",AG42=""),"",ROUND(AVERAGE(C42:AE42),2))</f>
        <v/>
      </c>
      <c r="AG42" s="18" t="str">
        <f aca="false"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customFormat="false" ht="9" hidden="false" customHeight="true" outlineLevel="0" collapsed="false">
      <c r="A43" s="14" t="str">
        <f aca="false">IFERROR(IF('Öğrenci Listesi'!A44="","",'Öğrenci Listesi'!A44),"")</f>
        <v/>
      </c>
      <c r="B43" s="15" t="str">
        <f aca="false">IFERROR(IF('Öğrenci Listesi'!B44="","",'Öğrenci Listesi'!B44),"")</f>
        <v/>
      </c>
      <c r="C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D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E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F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G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H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I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J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K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L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M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N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O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P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Q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R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S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T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U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V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W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X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Y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Z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AA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AB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AC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AD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AE43" s="16" t="str">
        <f aca="false">IF(OR('Öğrenci Listesi'!B44="",AG43=""),"",IF(AG43="Çok İyi",CHOOSE(RANDBETWEEN(1,5),4,4,4,4,3),IF(AG43="İyi",CHOOSE(RANDBETWEEN(1,5),3,3,3,4,2),IF(AG43="Yeterli",CHOOSE(RANDBETWEEN(1,5),2,2,2,3,1),IF(AG43="Geliştirilmeli",CHOOSE(RANDBETWEEN(1,5),1,1,1,1,2),"")))))</f>
        <v/>
      </c>
      <c r="AF43" s="17" t="str">
        <f aca="false">IF(OR('Öğrenci Listesi'!B44="",AG43=""),"",ROUND(AVERAGE(C43:AE43),2))</f>
        <v/>
      </c>
      <c r="AG43" s="18" t="str">
        <f aca="false"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customFormat="false" ht="9" hidden="false" customHeight="true" outlineLevel="0" collapsed="false">
      <c r="A44" s="14" t="str">
        <f aca="false">IFERROR(IF('Öğrenci Listesi'!A45="","",'Öğrenci Listesi'!A45),"")</f>
        <v/>
      </c>
      <c r="B44" s="15" t="str">
        <f aca="false">IFERROR(IF('Öğrenci Listesi'!B45="","",'Öğrenci Listesi'!B45),"")</f>
        <v/>
      </c>
      <c r="C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D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E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F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G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H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I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J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K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L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M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N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O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P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Q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R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S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T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U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V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W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X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Y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Z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AA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AB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AC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AD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AE44" s="16" t="str">
        <f aca="false">IF(OR('Öğrenci Listesi'!B45="",AG44=""),"",IF(AG44="Çok İyi",CHOOSE(RANDBETWEEN(1,5),4,4,4,4,3),IF(AG44="İyi",CHOOSE(RANDBETWEEN(1,5),3,3,3,4,2),IF(AG44="Yeterli",CHOOSE(RANDBETWEEN(1,5),2,2,2,3,1),IF(AG44="Geliştirilmeli",CHOOSE(RANDBETWEEN(1,5),1,1,1,1,2),"")))))</f>
        <v/>
      </c>
      <c r="AF44" s="17" t="str">
        <f aca="false">IF(OR('Öğrenci Listesi'!B45="",AG44=""),"",ROUND(AVERAGE(C44:AE44),2))</f>
        <v/>
      </c>
      <c r="AG44" s="18" t="str">
        <f aca="false"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5" customFormat="false" ht="13.5" hidden="false" customHeight="true" outlineLevel="0" collapsed="false">
      <c r="A45" s="19" t="s">
        <v>53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3.5" hidden="false" customHeight="true" outlineLevel="0" collapsed="false">
      <c r="A46" s="11" t="str">
        <f aca="false">Bilgiler!B6&amp;" Sınıf Öğretmeni"</f>
        <v> Sınıf Öğretmeni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 t="s">
        <v>9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customFormat="false" ht="12" hidden="false" customHeight="true" outlineLevel="0" collapsed="false"/>
    <row r="48" customFormat="false" ht="13.5" hidden="false" customHeight="true" outlineLevel="0" collapsed="false">
      <c r="A48" s="11" t="n">
        <f aca="false">Bilgiler!B9</f>
        <v>0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 t="n">
        <f aca="false">Bilgiler!B10</f>
        <v>0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</sheetData>
  <mergeCells count="7">
    <mergeCell ref="A1:AG1"/>
    <mergeCell ref="A2:AG2"/>
    <mergeCell ref="A45:AG45"/>
    <mergeCell ref="A46:P46"/>
    <mergeCell ref="Q46:AG46"/>
    <mergeCell ref="A48:P48"/>
    <mergeCell ref="Q48:AG48"/>
  </mergeCells>
  <conditionalFormatting sqref="AG5:AG44">
    <cfRule type="cellIs" priority="2" operator="equal" aboveAverage="0" equalAverage="0" bottom="0" percent="0" rank="0" text="" dxfId="0">
      <formula>"Çok İyi"</formula>
    </cfRule>
    <cfRule type="cellIs" priority="3" operator="equal" aboveAverage="0" equalAverage="0" bottom="0" percent="0" rank="0" text="" dxfId="1">
      <formula>"İyi"</formula>
    </cfRule>
    <cfRule type="cellIs" priority="4" operator="equal" aboveAverage="0" equalAverage="0" bottom="0" percent="0" rank="0" text="" dxfId="2">
      <formula>"Yeterli"</formula>
    </cfRule>
    <cfRule type="cellIs" priority="5" operator="equal" aboveAverage="0" equalAverage="0" bottom="0" percent="0" rank="0" text="" dxfId="3">
      <formula>"Geliştirilmeli"</formula>
    </cfRule>
  </conditionalFormatting>
  <conditionalFormatting sqref="AF5:AF44">
    <cfRule type="cellIs" priority="6" operator="greaterThanOrEqual" aboveAverage="0" equalAverage="0" bottom="0" percent="0" rank="0" text="" dxfId="0">
      <formula>3</formula>
    </cfRule>
    <cfRule type="expression" priority="7" aboveAverage="0" equalAverage="0" bottom="0" percent="0" rank="0" text="" dxfId="1">
      <formula>AND(AF5&gt;=2,AF5&lt;3)</formula>
    </cfRule>
    <cfRule type="expression" priority="8" aboveAverage="0" equalAverage="0" bottom="0" percent="0" rank="0" text="" dxfId="2">
      <formula>AND(AF5&gt;=1.5,AF5&lt;2)</formula>
    </cfRule>
    <cfRule type="expression" priority="9" aboveAverage="0" equalAverage="0" bottom="0" percent="0" rank="0" text="" dxfId="3">
      <formula>AND(AF5&gt;0,AF5&lt;1.5)</formula>
    </cfRule>
  </conditionalFormatting>
  <printOptions headings="false" gridLines="false" gridLinesSet="true" horizontalCentered="tru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2026-05-08T21:24:48Z</dcterms:created>
  <dc:creator>openpyxl</dc:creator>
  <dc:description/>
  <dc:language>en-US</dc:language>
  <cp:lastModifiedBy/>
  <dcterms:modified xsi:type="dcterms:W3CDTF">2026-05-08T21:24:48Z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